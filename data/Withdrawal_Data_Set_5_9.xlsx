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7F55D265-E5D7-C14D-8749-A5FF1DB451A8}" xr6:coauthVersionLast="47" xr6:coauthVersionMax="47" xr10:uidLastSave="{00000000-0000-0000-0000-000000000000}"/>
  <bookViews>
    <workbookView xWindow="5340" yWindow="500" windowWidth="22560" windowHeight="14880" xr2:uid="{297CD222-7684-0248-90E6-106C94D47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12" i="1" l="1"/>
  <c r="AW142" i="1"/>
  <c r="AW176" i="1"/>
  <c r="AW270" i="1"/>
  <c r="AW58" i="1"/>
  <c r="AW171" i="1"/>
  <c r="AW66" i="1"/>
  <c r="AW221" i="1"/>
  <c r="AW117" i="1"/>
  <c r="AW207" i="1"/>
  <c r="AW131" i="1"/>
  <c r="AW105" i="1"/>
  <c r="AW272" i="1"/>
  <c r="AW175" i="1"/>
  <c r="AW276" i="1"/>
  <c r="AW120" i="1"/>
  <c r="AW247" i="1"/>
  <c r="AW143" i="1"/>
  <c r="AW88" i="1"/>
  <c r="AW284" i="1"/>
  <c r="AW85" i="1"/>
  <c r="AW224" i="1"/>
  <c r="AW126" i="1"/>
  <c r="AW184" i="1"/>
  <c r="AW137" i="1"/>
  <c r="AW101" i="1"/>
  <c r="AW16" i="1"/>
  <c r="AW149" i="1"/>
  <c r="AW10" i="1"/>
  <c r="AW19" i="1"/>
  <c r="AW291" i="1"/>
  <c r="AW300" i="1"/>
  <c r="AW273" i="1"/>
  <c r="AW3" i="1"/>
  <c r="AW235" i="1"/>
  <c r="AW82" i="1"/>
  <c r="AW216" i="1"/>
  <c r="AW114" i="1"/>
  <c r="AW39" i="1"/>
  <c r="AW257" i="1"/>
  <c r="AW260" i="1"/>
  <c r="AW116" i="1"/>
  <c r="AW156" i="1"/>
  <c r="AW72" i="1"/>
  <c r="AW65" i="1"/>
  <c r="AW231" i="1"/>
  <c r="AW104" i="1"/>
  <c r="AW244" i="1"/>
  <c r="AW267" i="1"/>
  <c r="AW55" i="1"/>
  <c r="AW54" i="1"/>
  <c r="AW295" i="1"/>
  <c r="AW166" i="1"/>
  <c r="AW271" i="1"/>
  <c r="AW233" i="1"/>
  <c r="AW157" i="1"/>
  <c r="AW297" i="1"/>
  <c r="AW198" i="1"/>
  <c r="AW242" i="1"/>
  <c r="AW111" i="1"/>
  <c r="AW194" i="1"/>
  <c r="AW47" i="1"/>
  <c r="AW73" i="1"/>
  <c r="AW287" i="1"/>
  <c r="AW250" i="1"/>
  <c r="AW41" i="1"/>
  <c r="AW281" i="1"/>
  <c r="AW32" i="1"/>
  <c r="AW140" i="1"/>
  <c r="AW218" i="1"/>
  <c r="AW94" i="1"/>
  <c r="AW205" i="1"/>
  <c r="AW113" i="1"/>
  <c r="AW102" i="1"/>
  <c r="AW69" i="1"/>
  <c r="AW77" i="1"/>
  <c r="AW301" i="1"/>
  <c r="AW134" i="1"/>
  <c r="AW172" i="1"/>
  <c r="AW103" i="1"/>
  <c r="AW145" i="1"/>
  <c r="AW264" i="1"/>
  <c r="AW154" i="1"/>
  <c r="AW115" i="1"/>
  <c r="AW17" i="1"/>
  <c r="AW13" i="1"/>
  <c r="AW248" i="1"/>
  <c r="AW209" i="1"/>
  <c r="AW220" i="1"/>
  <c r="AW129" i="1"/>
  <c r="AW293" i="1"/>
  <c r="AW15" i="1"/>
  <c r="AW51" i="1"/>
  <c r="AW56" i="1"/>
  <c r="AW201" i="1"/>
  <c r="AW252" i="1"/>
  <c r="AW234" i="1"/>
  <c r="AW124" i="1"/>
  <c r="AW139" i="1"/>
  <c r="AW213" i="1"/>
  <c r="AW160" i="1"/>
  <c r="AW133" i="1"/>
  <c r="AW208" i="1"/>
  <c r="AW296" i="1"/>
  <c r="AW180" i="1"/>
  <c r="AW86" i="1"/>
  <c r="AW189" i="1"/>
  <c r="AW170" i="1"/>
  <c r="AW173" i="1"/>
  <c r="AW123" i="1"/>
  <c r="AW11" i="1"/>
  <c r="AW188" i="1"/>
  <c r="AW43" i="1"/>
  <c r="AW9" i="1"/>
  <c r="AW256" i="1"/>
  <c r="AW283" i="1"/>
  <c r="AW162" i="1"/>
  <c r="AW4" i="1"/>
  <c r="AW74" i="1"/>
  <c r="AW62" i="1"/>
  <c r="AW36" i="1"/>
  <c r="AW274" i="1"/>
  <c r="AW35" i="1"/>
  <c r="AW2" i="1"/>
  <c r="AW217" i="1"/>
  <c r="AW236" i="1"/>
  <c r="AR209" i="1"/>
  <c r="AR187" i="1"/>
  <c r="AR97" i="1"/>
  <c r="AR62" i="1"/>
  <c r="AR300" i="1"/>
  <c r="AW253" i="1"/>
  <c r="AR253" i="1"/>
  <c r="AR3" i="1"/>
  <c r="AR273" i="1"/>
  <c r="AW206" i="1"/>
  <c r="AR206" i="1"/>
  <c r="AW27" i="1"/>
  <c r="AR27" i="1"/>
  <c r="AR217" i="1"/>
  <c r="AW119" i="1"/>
  <c r="AR119" i="1"/>
  <c r="AR127" i="1"/>
  <c r="AR205" i="1"/>
  <c r="AW107" i="1"/>
  <c r="AR107" i="1"/>
  <c r="AR274" i="1"/>
  <c r="AR113" i="1"/>
  <c r="AR2" i="1"/>
  <c r="AW22" i="1"/>
  <c r="AR22" i="1"/>
  <c r="AR301" i="1"/>
  <c r="AR260" i="1"/>
  <c r="AW31" i="1"/>
  <c r="AR31" i="1"/>
  <c r="AR298" i="1"/>
  <c r="AR69" i="1"/>
  <c r="AR36" i="1"/>
  <c r="AW81" i="1"/>
  <c r="AR81" i="1"/>
  <c r="AW28" i="1"/>
  <c r="AR28" i="1"/>
  <c r="AW181" i="1"/>
  <c r="AR181" i="1"/>
  <c r="AR19" i="1"/>
  <c r="AR149" i="1"/>
  <c r="AW20" i="1"/>
  <c r="AR20" i="1"/>
  <c r="AW158" i="1"/>
  <c r="AR158" i="1"/>
  <c r="AR280" i="1"/>
  <c r="AW42" i="1"/>
  <c r="AR42" i="1"/>
  <c r="AR291" i="1"/>
  <c r="AW212" i="1"/>
  <c r="AR212" i="1"/>
  <c r="AW75" i="1"/>
  <c r="AR75" i="1"/>
  <c r="AR201" i="1"/>
  <c r="AR145" i="1"/>
  <c r="AR47" i="1"/>
  <c r="AW241" i="1"/>
  <c r="AR241" i="1"/>
  <c r="AR264" i="1"/>
  <c r="AR154" i="1"/>
  <c r="AR293" i="1"/>
  <c r="AW214" i="1"/>
  <c r="AR214" i="1"/>
  <c r="AW7" i="1"/>
  <c r="AR7" i="1"/>
  <c r="AW191" i="1"/>
  <c r="AR191" i="1"/>
  <c r="AW23" i="1"/>
  <c r="AR23" i="1"/>
  <c r="AR32" i="1"/>
  <c r="AW152" i="1"/>
  <c r="AR152" i="1"/>
  <c r="AW199" i="1"/>
  <c r="AR199" i="1"/>
  <c r="AW153" i="1"/>
  <c r="AR153" i="1"/>
  <c r="AW245" i="1"/>
  <c r="AR245" i="1"/>
  <c r="AW125" i="1"/>
  <c r="AR115" i="1"/>
  <c r="AR263" i="1"/>
  <c r="AW165" i="1"/>
  <c r="AR165" i="1"/>
  <c r="AR194" i="1"/>
  <c r="AR296" i="1"/>
  <c r="AR175" i="1"/>
  <c r="AW110" i="1"/>
  <c r="AR110" i="1"/>
  <c r="AW46" i="1"/>
  <c r="AR46" i="1"/>
  <c r="AR17" i="1"/>
  <c r="AW202" i="1"/>
  <c r="AR202" i="1"/>
  <c r="AW240" i="1"/>
  <c r="AR240" i="1"/>
  <c r="AW258" i="1"/>
  <c r="AR258" i="1"/>
  <c r="AW168" i="1"/>
  <c r="AR168" i="1"/>
  <c r="AW255" i="1"/>
  <c r="AW108" i="1"/>
  <c r="AR108" i="1"/>
  <c r="AR204" i="1"/>
  <c r="AR37" i="1"/>
  <c r="AR137" i="1"/>
  <c r="AW8" i="1"/>
  <c r="AR8" i="1"/>
  <c r="AW87" i="1"/>
  <c r="AR87" i="1"/>
  <c r="AR73" i="1"/>
  <c r="AW59" i="1"/>
  <c r="AR59" i="1"/>
  <c r="AW259" i="1"/>
  <c r="AW197" i="1"/>
  <c r="AR197" i="1"/>
  <c r="AW150" i="1"/>
  <c r="AR150" i="1"/>
  <c r="AW249" i="1"/>
  <c r="AR249" i="1"/>
  <c r="AW164" i="1"/>
  <c r="AR164" i="1"/>
  <c r="AW226" i="1"/>
  <c r="AR226" i="1"/>
  <c r="AW100" i="1"/>
  <c r="AR100" i="1"/>
  <c r="AR13" i="1"/>
  <c r="AR39" i="1"/>
  <c r="AW192" i="1"/>
  <c r="AR192" i="1"/>
  <c r="AW183" i="1"/>
  <c r="AR183" i="1"/>
  <c r="AW155" i="1"/>
  <c r="AR155" i="1"/>
  <c r="AW179" i="1"/>
  <c r="AR179" i="1"/>
  <c r="AW99" i="1"/>
  <c r="AR99" i="1"/>
  <c r="AW178" i="1"/>
  <c r="AR178" i="1"/>
  <c r="AR236" i="1"/>
  <c r="AR111" i="1"/>
  <c r="AR139" i="1"/>
  <c r="AR171" i="1"/>
  <c r="AW132" i="1"/>
  <c r="AR218" i="1"/>
  <c r="AW84" i="1"/>
  <c r="AR84" i="1"/>
  <c r="AR166" i="1"/>
  <c r="AR143" i="1"/>
  <c r="AR176" i="1"/>
  <c r="AR213" i="1"/>
  <c r="AW223" i="1"/>
  <c r="AR223" i="1"/>
  <c r="AW80" i="1"/>
  <c r="AR80" i="1"/>
  <c r="AR41" i="1"/>
  <c r="AR248" i="1"/>
  <c r="AR55" i="1"/>
  <c r="AW167" i="1"/>
  <c r="AR167" i="1"/>
  <c r="AW89" i="1"/>
  <c r="AR89" i="1"/>
  <c r="AR172" i="1"/>
  <c r="AW26" i="1"/>
  <c r="AR26" i="1"/>
  <c r="AR85" i="1"/>
  <c r="AR231" i="1"/>
  <c r="AR235" i="1"/>
  <c r="AW246" i="1"/>
  <c r="AR246" i="1"/>
  <c r="AW286" i="1"/>
  <c r="AR286" i="1"/>
  <c r="AR4" i="1"/>
  <c r="AW71" i="1"/>
  <c r="AR71" i="1"/>
  <c r="AR120" i="1"/>
  <c r="AR198" i="1"/>
  <c r="AW24" i="1"/>
  <c r="AR24" i="1"/>
  <c r="AR54" i="1"/>
  <c r="AR9" i="1"/>
  <c r="AW174" i="1"/>
  <c r="AR174" i="1"/>
  <c r="AR233" i="1"/>
  <c r="AW12" i="1"/>
  <c r="AR12" i="1"/>
  <c r="AW292" i="1"/>
  <c r="AR292" i="1"/>
  <c r="AR117" i="1"/>
  <c r="AR56" i="1"/>
  <c r="AW130" i="1"/>
  <c r="AR130" i="1"/>
  <c r="AW151" i="1"/>
  <c r="AR151" i="1"/>
  <c r="AW215" i="1"/>
  <c r="AR215" i="1"/>
  <c r="AR156" i="1"/>
  <c r="AW29" i="1"/>
  <c r="AR29" i="1"/>
  <c r="AW63" i="1"/>
  <c r="AR63" i="1"/>
  <c r="AW265" i="1"/>
  <c r="AR265" i="1"/>
  <c r="AW141" i="1"/>
  <c r="AR141" i="1"/>
  <c r="AR86" i="1"/>
  <c r="AW5" i="1"/>
  <c r="AR5" i="1"/>
  <c r="AW21" i="1"/>
  <c r="AR21" i="1"/>
  <c r="AR234" i="1"/>
  <c r="AW25" i="1"/>
  <c r="AR25" i="1"/>
  <c r="AR196" i="1"/>
  <c r="AW200" i="1"/>
  <c r="AR200" i="1"/>
  <c r="AR58" i="1"/>
  <c r="AR11" i="1"/>
  <c r="AR229" i="1"/>
  <c r="AW239" i="1"/>
  <c r="AR239" i="1"/>
  <c r="AW18" i="1"/>
  <c r="AR18" i="1"/>
  <c r="AR173" i="1"/>
  <c r="AR208" i="1"/>
  <c r="AW76" i="1"/>
  <c r="AR76" i="1"/>
  <c r="AW53" i="1"/>
  <c r="AR53" i="1"/>
  <c r="AW299" i="1"/>
  <c r="AR299" i="1"/>
  <c r="AW67" i="1"/>
  <c r="AR67" i="1"/>
  <c r="AW288" i="1"/>
  <c r="AR288" i="1"/>
  <c r="AW64" i="1"/>
  <c r="AR64" i="1"/>
  <c r="AR74" i="1"/>
  <c r="AW92" i="1"/>
  <c r="AW169" i="1"/>
  <c r="AR169" i="1"/>
  <c r="AR105" i="1"/>
  <c r="AW79" i="1"/>
  <c r="AR79" i="1"/>
  <c r="AW90" i="1"/>
  <c r="AR90" i="1"/>
  <c r="AW138" i="1"/>
  <c r="AR138" i="1"/>
  <c r="AR43" i="1"/>
  <c r="AW185" i="1"/>
  <c r="AR185" i="1"/>
  <c r="AW135" i="1"/>
  <c r="AR135" i="1"/>
  <c r="AW106" i="1"/>
  <c r="AR106" i="1"/>
  <c r="AW237" i="1"/>
  <c r="AR237" i="1"/>
  <c r="AR271" i="1"/>
  <c r="AR133" i="1"/>
  <c r="AR251" i="1"/>
  <c r="AW195" i="1"/>
  <c r="AR195" i="1"/>
  <c r="AW261" i="1"/>
  <c r="AR261" i="1"/>
  <c r="AW95" i="1"/>
  <c r="AR95" i="1"/>
  <c r="AR50" i="1"/>
  <c r="AR126" i="1"/>
  <c r="AR266" i="1"/>
  <c r="AW203" i="1"/>
  <c r="AW228" i="1"/>
  <c r="AR228" i="1"/>
  <c r="AW45" i="1"/>
  <c r="AR45" i="1"/>
  <c r="AR131" i="1"/>
  <c r="AR188" i="1"/>
  <c r="AR65" i="1"/>
  <c r="AR207" i="1"/>
  <c r="AW278" i="1"/>
  <c r="AR278" i="1"/>
  <c r="AR189" i="1"/>
  <c r="AW48" i="1"/>
  <c r="AR48" i="1"/>
  <c r="AW70" i="1"/>
  <c r="AR70" i="1"/>
  <c r="AW34" i="1"/>
  <c r="AR34" i="1"/>
  <c r="AR281" i="1"/>
  <c r="AR270" i="1"/>
  <c r="AR250" i="1"/>
  <c r="AR66" i="1"/>
  <c r="AR160" i="1"/>
  <c r="AR94" i="1"/>
  <c r="AW238" i="1"/>
  <c r="AR238" i="1"/>
  <c r="AR224" i="1"/>
  <c r="AW225" i="1"/>
  <c r="AR225" i="1"/>
  <c r="AR114" i="1"/>
  <c r="AR33" i="1"/>
  <c r="AR276" i="1"/>
  <c r="AR170" i="1"/>
  <c r="AW163" i="1"/>
  <c r="AR163" i="1"/>
  <c r="AR279" i="1"/>
  <c r="AW290" i="1"/>
  <c r="AR290" i="1"/>
  <c r="AR140" i="1"/>
  <c r="AW91" i="1"/>
  <c r="AR91" i="1"/>
  <c r="AR220" i="1"/>
  <c r="AW38" i="1"/>
  <c r="AR38" i="1"/>
  <c r="AW182" i="1"/>
  <c r="AR182" i="1"/>
  <c r="AR161" i="1"/>
  <c r="AR124" i="1"/>
  <c r="AW60" i="1"/>
  <c r="AR60" i="1"/>
  <c r="AR283" i="1"/>
  <c r="AW159" i="1"/>
  <c r="AR159" i="1"/>
  <c r="AW146" i="1"/>
  <c r="AR146" i="1"/>
  <c r="AR284" i="1"/>
  <c r="AR268" i="1"/>
  <c r="AW277" i="1"/>
  <c r="AR277" i="1"/>
  <c r="AW83" i="1"/>
  <c r="AR83" i="1"/>
  <c r="AW144" i="1"/>
  <c r="AR144" i="1"/>
  <c r="AR112" i="1"/>
  <c r="AR72" i="1"/>
  <c r="AR134" i="1"/>
  <c r="AR295" i="1"/>
  <c r="AR244" i="1"/>
  <c r="AR10" i="1"/>
  <c r="AW6" i="1"/>
  <c r="AR6" i="1"/>
  <c r="AR82" i="1"/>
  <c r="AW96" i="1"/>
  <c r="AR96" i="1"/>
  <c r="AR16" i="1"/>
  <c r="AR103" i="1"/>
  <c r="AR77" i="1"/>
  <c r="AW232" i="1"/>
  <c r="AR232" i="1"/>
  <c r="AW210" i="1"/>
  <c r="AR297" i="1"/>
  <c r="AW262" i="1"/>
  <c r="AR262" i="1"/>
  <c r="AR104" i="1"/>
  <c r="AR180" i="1"/>
  <c r="AW49" i="1"/>
  <c r="AR49" i="1"/>
  <c r="AR123" i="1"/>
  <c r="AR221" i="1"/>
  <c r="AR272" i="1"/>
  <c r="AW211" i="1"/>
  <c r="AR211" i="1"/>
  <c r="AW61" i="1"/>
  <c r="AR61" i="1"/>
  <c r="AR184" i="1"/>
  <c r="AW294" i="1"/>
  <c r="AR294" i="1"/>
  <c r="AW78" i="1"/>
  <c r="AR78" i="1"/>
  <c r="AR102" i="1"/>
  <c r="AW269" i="1"/>
  <c r="AR269" i="1"/>
  <c r="AW282" i="1"/>
  <c r="AR282" i="1"/>
  <c r="AW227" i="1"/>
  <c r="AR227" i="1"/>
  <c r="AR256" i="1"/>
  <c r="AR287" i="1"/>
  <c r="AR101" i="1"/>
  <c r="AW118" i="1"/>
  <c r="AR118" i="1"/>
  <c r="AR162" i="1"/>
  <c r="AW275" i="1"/>
  <c r="AR275" i="1"/>
  <c r="AW190" i="1"/>
  <c r="AR190" i="1"/>
  <c r="AW177" i="1"/>
  <c r="AR177" i="1"/>
  <c r="AW136" i="1"/>
  <c r="AR136" i="1"/>
  <c r="AW254" i="1"/>
  <c r="AR254" i="1"/>
  <c r="AW222" i="1"/>
  <c r="AR222" i="1"/>
  <c r="AW187" i="1"/>
  <c r="AW44" i="1"/>
  <c r="AR44" i="1"/>
  <c r="AR157" i="1"/>
  <c r="AW230" i="1"/>
  <c r="AR230" i="1"/>
  <c r="AR116" i="1"/>
  <c r="AW289" i="1"/>
  <c r="AR289" i="1"/>
  <c r="AR242" i="1"/>
  <c r="AR40" i="1"/>
  <c r="AW147" i="1"/>
  <c r="AR147" i="1"/>
  <c r="AW186" i="1"/>
  <c r="AR186" i="1"/>
  <c r="AW93" i="1"/>
  <c r="AR93" i="1"/>
  <c r="AR121" i="1"/>
  <c r="AW30" i="1"/>
  <c r="AR30" i="1"/>
  <c r="AW243" i="1"/>
  <c r="AR243" i="1"/>
  <c r="AW52" i="1"/>
  <c r="AR52" i="1"/>
  <c r="AW98" i="1"/>
  <c r="AR98" i="1"/>
  <c r="AR247" i="1"/>
  <c r="AW128" i="1"/>
  <c r="AW14" i="1"/>
  <c r="AR14" i="1"/>
  <c r="AW122" i="1"/>
  <c r="AR122" i="1"/>
  <c r="AR216" i="1"/>
  <c r="AR257" i="1"/>
  <c r="AW193" i="1"/>
  <c r="AR193" i="1"/>
  <c r="AW148" i="1"/>
  <c r="AR148" i="1"/>
  <c r="AR129" i="1"/>
  <c r="AR15" i="1"/>
  <c r="AW219" i="1"/>
  <c r="AR219" i="1"/>
  <c r="AW57" i="1"/>
  <c r="AR57" i="1"/>
  <c r="AR51" i="1"/>
  <c r="AW109" i="1"/>
  <c r="AR109" i="1"/>
  <c r="AW285" i="1"/>
  <c r="AR285" i="1"/>
  <c r="AW280" i="1" l="1"/>
  <c r="AW97" i="1"/>
  <c r="AW37" i="1"/>
  <c r="AW127" i="1"/>
  <c r="AW298" i="1"/>
  <c r="AW268" i="1"/>
  <c r="AW68" i="1"/>
  <c r="AW279" i="1"/>
  <c r="AR267" i="1"/>
  <c r="AW196" i="1"/>
  <c r="AR255" i="1"/>
  <c r="AR142" i="1"/>
  <c r="AW121" i="1"/>
  <c r="AW50" i="1"/>
  <c r="AR252" i="1"/>
  <c r="AR132" i="1"/>
  <c r="AW204" i="1"/>
  <c r="AR88" i="1"/>
  <c r="AW229" i="1"/>
  <c r="AR259" i="1"/>
  <c r="AR125" i="1"/>
  <c r="AW161" i="1"/>
  <c r="AW33" i="1"/>
  <c r="AW266" i="1"/>
  <c r="AR92" i="1"/>
  <c r="AR68" i="1"/>
  <c r="AW263" i="1"/>
  <c r="AR128" i="1"/>
  <c r="AW40" i="1"/>
  <c r="AR210" i="1"/>
  <c r="AR203" i="1"/>
  <c r="AW251" i="1"/>
  <c r="AR35" i="1"/>
</calcChain>
</file>

<file path=xl/sharedStrings.xml><?xml version="1.0" encoding="utf-8"?>
<sst xmlns="http://schemas.openxmlformats.org/spreadsheetml/2006/main" count="2975" uniqueCount="386">
  <si>
    <t>Trial_number</t>
  </si>
  <si>
    <t xml:space="preserve">Solid </t>
  </si>
  <si>
    <t>Heme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</si>
  <si>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</si>
  <si>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</si>
  <si>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</si>
  <si>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</si>
  <si>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</si>
  <si>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</si>
  <si>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</si>
  <si>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</si>
  <si>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</si>
  <si>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</si>
  <si>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</si>
  <si>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</si>
  <si>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</si>
  <si>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</si>
  <si>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</si>
  <si>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</si>
  <si>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</si>
  <si>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</si>
  <si>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</si>
  <si>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</si>
  <si>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</si>
  <si>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</si>
  <si>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</si>
  <si>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</si>
  <si>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</si>
  <si>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</si>
  <si>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</si>
  <si>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</si>
  <si>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</si>
  <si>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</si>
  <si>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</si>
  <si>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</si>
  <si>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</si>
  <si>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</si>
  <si>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</si>
  <si>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</si>
  <si>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</si>
  <si>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Supportive_Care</t>
  </si>
  <si>
    <t>Telemedicine</t>
  </si>
  <si>
    <t>Non_Specific_Effort</t>
  </si>
  <si>
    <t>Unblinding_Or_Cross_Over</t>
  </si>
  <si>
    <t>Continued_Tx_After_Withdrawl_Or_Re_Challenge</t>
  </si>
  <si>
    <t>Did_Trial_State_Need_For_Clearly_Documented_Reasons_For_Withdrawal</t>
  </si>
  <si>
    <t>Data_Availability_After_Withdrawl</t>
  </si>
  <si>
    <t>NCT04177108</t>
  </si>
  <si>
    <t>Rct</t>
  </si>
  <si>
    <t>NA</t>
  </si>
  <si>
    <t>Combo</t>
  </si>
  <si>
    <t>Industry</t>
  </si>
  <si>
    <t>International</t>
  </si>
  <si>
    <t>Multi-Site</t>
  </si>
  <si>
    <t>Yes</t>
  </si>
  <si>
    <t>NCT00295620</t>
  </si>
  <si>
    <t>Mono</t>
  </si>
  <si>
    <t>No</t>
  </si>
  <si>
    <t>NCT03337724</t>
  </si>
  <si>
    <t>NCT04666259</t>
  </si>
  <si>
    <t>Prospective_Cohort</t>
  </si>
  <si>
    <t>None</t>
  </si>
  <si>
    <t>NCT02448381</t>
  </si>
  <si>
    <t>Unclear</t>
  </si>
  <si>
    <t>NCT01004978</t>
  </si>
  <si>
    <t>Government</t>
  </si>
  <si>
    <t>NCT03150875</t>
  </si>
  <si>
    <t>NCT01808573</t>
  </si>
  <si>
    <t>NCT02600923</t>
  </si>
  <si>
    <t>Single_Group_Assignment</t>
  </si>
  <si>
    <t>NCT02714218</t>
  </si>
  <si>
    <t>NCT02395016</t>
  </si>
  <si>
    <t>NCT01572038</t>
  </si>
  <si>
    <t>Single_Site</t>
  </si>
  <si>
    <t>NCT01578499</t>
  </si>
  <si>
    <t>NCT03257267</t>
  </si>
  <si>
    <t>NCT01102426</t>
  </si>
  <si>
    <t>NCT02472145</t>
  </si>
  <si>
    <t>NCT01926886</t>
  </si>
  <si>
    <t>NCT02181413</t>
  </si>
  <si>
    <t>NCT02776683</t>
  </si>
  <si>
    <t>NCT03176238</t>
  </si>
  <si>
    <t>NCT01953003</t>
  </si>
  <si>
    <t>NCT02898077</t>
  </si>
  <si>
    <t>NCT02394795</t>
  </si>
  <si>
    <t>NCT02551159</t>
  </si>
  <si>
    <t>NCT02369016</t>
  </si>
  <si>
    <t>NCT02066636</t>
  </si>
  <si>
    <t>NCT02773849</t>
  </si>
  <si>
    <t>NCT02301156</t>
  </si>
  <si>
    <t>Usa</t>
  </si>
  <si>
    <t>NCT02810457</t>
  </si>
  <si>
    <t>NCT01846611</t>
  </si>
  <si>
    <t>NCT01847274</t>
  </si>
  <si>
    <t>NCT03110562</t>
  </si>
  <si>
    <t>NCT03476239</t>
  </si>
  <si>
    <t>NCT02264574</t>
  </si>
  <si>
    <t>NCT01566721</t>
  </si>
  <si>
    <t>NCT03016312</t>
  </si>
  <si>
    <t>NCT02312258</t>
  </si>
  <si>
    <t>NCT02896855</t>
  </si>
  <si>
    <t>NCT01974440</t>
  </si>
  <si>
    <t>NCT01734928</t>
  </si>
  <si>
    <t>NCT01101438</t>
  </si>
  <si>
    <t>NCT02941926</t>
  </si>
  <si>
    <t>NCT02454933</t>
  </si>
  <si>
    <t>NCT01776840</t>
  </si>
  <si>
    <t>NCT03345095</t>
  </si>
  <si>
    <t>NCT02569242</t>
  </si>
  <si>
    <t>NCT02426125</t>
  </si>
  <si>
    <t>NCT00942331</t>
  </si>
  <si>
    <t>NCT02278120</t>
  </si>
  <si>
    <t>NCT03504423</t>
  </si>
  <si>
    <t>NCT01682083</t>
  </si>
  <si>
    <t>NCT03829969</t>
  </si>
  <si>
    <t>NCT01987505</t>
  </si>
  <si>
    <t>NCT03191786</t>
  </si>
  <si>
    <t>NCT02200614</t>
  </si>
  <si>
    <t>NCT02422615</t>
  </si>
  <si>
    <t>NCT02753127</t>
  </si>
  <si>
    <t>NCT04137627</t>
  </si>
  <si>
    <t>NCT02737501</t>
  </si>
  <si>
    <t>NCT03125902</t>
  </si>
  <si>
    <t>NCT02987543</t>
  </si>
  <si>
    <t>NCT01265849</t>
  </si>
  <si>
    <t>NCT03098030</t>
  </si>
  <si>
    <t>NCT02545504</t>
  </si>
  <si>
    <t>NCT03126435</t>
  </si>
  <si>
    <t>NCT02990338</t>
  </si>
  <si>
    <t>NCT02577406</t>
  </si>
  <si>
    <t>NCT04385368</t>
  </si>
  <si>
    <t>NCT02437318</t>
  </si>
  <si>
    <t>NCT02611960</t>
  </si>
  <si>
    <t>NCT03511664</t>
  </si>
  <si>
    <t>NCT02348489</t>
  </si>
  <si>
    <t>NCT02231086</t>
  </si>
  <si>
    <t>NCT02383966</t>
  </si>
  <si>
    <t>NCT01655693</t>
  </si>
  <si>
    <t>NCT03296163</t>
  </si>
  <si>
    <t>NCT01777152</t>
  </si>
  <si>
    <t>NCT00068692</t>
  </si>
  <si>
    <t>NCT03357952</t>
  </si>
  <si>
    <t>NCT03329846</t>
  </si>
  <si>
    <t>NCT01772472</t>
  </si>
  <si>
    <t>NCT03096847</t>
  </si>
  <si>
    <t>NCT01335399</t>
  </si>
  <si>
    <t>NCT02807636</t>
  </si>
  <si>
    <t>NCT02617589</t>
  </si>
  <si>
    <t>NCT01728805</t>
  </si>
  <si>
    <t>NCT02111577</t>
  </si>
  <si>
    <t>NCT02039726</t>
  </si>
  <si>
    <t>NCT03088813</t>
  </si>
  <si>
    <t>NCT02928406</t>
  </si>
  <si>
    <t>NCT03434379</t>
  </si>
  <si>
    <t>NCT02288247</t>
  </si>
  <si>
    <t>NCT02329860</t>
  </si>
  <si>
    <t>NCT02347332</t>
  </si>
  <si>
    <t>NCT02436668</t>
  </si>
  <si>
    <t>NCT02566993</t>
  </si>
  <si>
    <t>NCT02004522</t>
  </si>
  <si>
    <t>NCT03072238</t>
  </si>
  <si>
    <t>NCT02657434</t>
  </si>
  <si>
    <t>NCT01689519</t>
  </si>
  <si>
    <t>NCT02005471</t>
  </si>
  <si>
    <t>NCT02184195</t>
  </si>
  <si>
    <t>NCT02799602</t>
  </si>
  <si>
    <t>NCT02481830</t>
  </si>
  <si>
    <t>NCT01321541</t>
  </si>
  <si>
    <t>NCT02864251</t>
  </si>
  <si>
    <t>NCT02364999</t>
  </si>
  <si>
    <t>NCT02709512</t>
  </si>
  <si>
    <t>NCT02125461</t>
  </si>
  <si>
    <t>NCT02920008</t>
  </si>
  <si>
    <t>NCT03288987</t>
  </si>
  <si>
    <t>NCT02755597</t>
  </si>
  <si>
    <t>NCT02578641</t>
  </si>
  <si>
    <t>NCT02178956</t>
  </si>
  <si>
    <t>NCT01864746</t>
  </si>
  <si>
    <t>NCT02256436</t>
  </si>
  <si>
    <t>Unknown</t>
  </si>
  <si>
    <t>NCT03414983</t>
  </si>
  <si>
    <t>NCT02631876</t>
  </si>
  <si>
    <t>NCT01523587</t>
  </si>
  <si>
    <t>NCT03416179</t>
  </si>
  <si>
    <t>NCT02409342</t>
  </si>
  <si>
    <t>NCT03158688</t>
  </si>
  <si>
    <t>NCT03950674</t>
  </si>
  <si>
    <t>NCT01964430</t>
  </si>
  <si>
    <t>NCT01953913</t>
  </si>
  <si>
    <t>NCT02279732</t>
  </si>
  <si>
    <t>NCT02474355</t>
  </si>
  <si>
    <t>NCT03379727</t>
  </si>
  <si>
    <t>NCT02580058</t>
  </si>
  <si>
    <t>NCT00630032</t>
  </si>
  <si>
    <t>NCT02494583</t>
  </si>
  <si>
    <t>NCT01107626</t>
  </si>
  <si>
    <t>NCT02788279</t>
  </si>
  <si>
    <t>NCT01121393</t>
  </si>
  <si>
    <t>NCT02412878</t>
  </si>
  <si>
    <t>NCT00130728</t>
  </si>
  <si>
    <t>NCT03349333</t>
  </si>
  <si>
    <t>NCT02989857</t>
  </si>
  <si>
    <t>NCT02285062</t>
  </si>
  <si>
    <t>NCT02625610</t>
  </si>
  <si>
    <t>NCT03061812</t>
  </si>
  <si>
    <t>NCT01515748</t>
  </si>
  <si>
    <t>NCT03594747</t>
  </si>
  <si>
    <t>NCT02954172</t>
  </si>
  <si>
    <t>NCT02421588</t>
  </si>
  <si>
    <t>NCT03349710</t>
  </si>
  <si>
    <t>NCT04633564</t>
  </si>
  <si>
    <t>NCT03941964</t>
  </si>
  <si>
    <t>NCT01611090</t>
  </si>
  <si>
    <t>NCT02763579</t>
  </si>
  <si>
    <t>NCT01966471</t>
  </si>
  <si>
    <t>NCT03038100</t>
  </si>
  <si>
    <t>NCT03830866</t>
  </si>
  <si>
    <t>NCT02923921</t>
  </si>
  <si>
    <t>NCT03099382</t>
  </si>
  <si>
    <t>NCT02713867</t>
  </si>
  <si>
    <t>NCT02606461</t>
  </si>
  <si>
    <t>NCT02163694</t>
  </si>
  <si>
    <t>NCT03410693</t>
  </si>
  <si>
    <t>NCT01829711</t>
  </si>
  <si>
    <t>NCT02979899</t>
  </si>
  <si>
    <t>NCT01569295</t>
  </si>
  <si>
    <t>NCT01667419</t>
  </si>
  <si>
    <t>NCT01905657</t>
  </si>
  <si>
    <t>NCT02563002</t>
  </si>
  <si>
    <t>NCT02272413</t>
  </si>
  <si>
    <t>NCT02564263</t>
  </si>
  <si>
    <t>NCT02282020</t>
  </si>
  <si>
    <t>NCT02358031</t>
  </si>
  <si>
    <t>NCT03635489</t>
  </si>
  <si>
    <t>NCT02603432</t>
  </si>
  <si>
    <t>NCT01757535</t>
  </si>
  <si>
    <t>NCT03834519</t>
  </si>
  <si>
    <t>NCT02369874</t>
  </si>
  <si>
    <t>NCT01940497</t>
  </si>
  <si>
    <t>NCT03123939</t>
  </si>
  <si>
    <t>NCT02302807</t>
  </si>
  <si>
    <t>NCT04456699</t>
  </si>
  <si>
    <t>NCT01889069</t>
  </si>
  <si>
    <t>NCT01938001</t>
  </si>
  <si>
    <t>NCT03029234</t>
  </si>
  <si>
    <t>NCT01332968</t>
  </si>
  <si>
    <t>NCT00445601</t>
  </si>
  <si>
    <t>Network</t>
  </si>
  <si>
    <t>NCT03084237</t>
  </si>
  <si>
    <t>NCT04145531</t>
  </si>
  <si>
    <t>NCT00130533</t>
  </si>
  <si>
    <t>NCT02872116</t>
  </si>
  <si>
    <t>NCT02726581</t>
  </si>
  <si>
    <t>NCT02112656</t>
  </si>
  <si>
    <t>NCT00567567</t>
  </si>
  <si>
    <t>NCT02555657</t>
  </si>
  <si>
    <t>NCT01164202</t>
  </si>
  <si>
    <t>NCT02625623</t>
  </si>
  <si>
    <t>NCT01578707</t>
  </si>
  <si>
    <t>NCT02049515</t>
  </si>
  <si>
    <t>NCT02928224</t>
  </si>
  <si>
    <t>NCT03277105</t>
  </si>
  <si>
    <t>NCT01855750</t>
  </si>
  <si>
    <t>NCT02627963</t>
  </si>
  <si>
    <t>NCT00887068</t>
  </si>
  <si>
    <t>NCT03374488</t>
  </si>
  <si>
    <t>NCT02578680</t>
  </si>
  <si>
    <t>NCT02260804</t>
  </si>
  <si>
    <t>NCT03093870</t>
  </si>
  <si>
    <t>NCT02142738</t>
  </si>
  <si>
    <t>NCT00703820</t>
  </si>
  <si>
    <t>NCT01702571</t>
  </si>
  <si>
    <t>NCT03430843</t>
  </si>
  <si>
    <t>NCT02252042</t>
  </si>
  <si>
    <t>NCT01196390</t>
  </si>
  <si>
    <t>NCT02367781</t>
  </si>
  <si>
    <t>NCT01322490</t>
  </si>
  <si>
    <t>NCT02613507</t>
  </si>
  <si>
    <t>NCT02500043</t>
  </si>
  <si>
    <t>NCT01755767</t>
  </si>
  <si>
    <t>NCT02017717</t>
  </si>
  <si>
    <t>NCT02420821</t>
  </si>
  <si>
    <t>NCT02853305</t>
  </si>
  <si>
    <t>NCT01942135</t>
  </si>
  <si>
    <t>NCT03875092</t>
  </si>
  <si>
    <t>NCT02574455</t>
  </si>
  <si>
    <t>NCT02899299</t>
  </si>
  <si>
    <t>NCT03898180</t>
  </si>
  <si>
    <t>NCT02545075</t>
  </si>
  <si>
    <t>NCT01850524</t>
  </si>
  <si>
    <t>NCT03976102</t>
  </si>
  <si>
    <t>NCT04296890</t>
  </si>
  <si>
    <t>NCT02599402</t>
  </si>
  <si>
    <t>NCT02370498</t>
  </si>
  <si>
    <t>NCT02425891</t>
  </si>
  <si>
    <t>NCT03783078</t>
  </si>
  <si>
    <t>NCT03631706</t>
  </si>
  <si>
    <t>NCT01564537</t>
  </si>
  <si>
    <t>NCT02043678</t>
  </si>
  <si>
    <t>NCT03066778</t>
  </si>
  <si>
    <t>NCT02864394</t>
  </si>
  <si>
    <t>NCT02668653</t>
  </si>
  <si>
    <t>NCT03726879</t>
  </si>
  <si>
    <t>NCT03859427</t>
  </si>
  <si>
    <t>NCT03515837</t>
  </si>
  <si>
    <t>NCT03117049</t>
  </si>
  <si>
    <t>NCT02855944</t>
  </si>
  <si>
    <t>NCT00116142</t>
  </si>
  <si>
    <t>NCT03635567</t>
  </si>
  <si>
    <t>NCT03629925</t>
  </si>
  <si>
    <t>NCT04642469</t>
  </si>
  <si>
    <t>NCT01667562</t>
  </si>
  <si>
    <t>NCT02395172</t>
  </si>
  <si>
    <t>NCT04109066</t>
  </si>
  <si>
    <t>NCT00004124</t>
  </si>
  <si>
    <t>NCT01712789</t>
  </si>
  <si>
    <t>NCT01461928</t>
  </si>
  <si>
    <t>NCT03465722</t>
  </si>
  <si>
    <t>NCT02756611</t>
  </si>
  <si>
    <t>NCT00722137</t>
  </si>
  <si>
    <t>NCT03635983</t>
  </si>
  <si>
    <t>NCT03850444</t>
  </si>
  <si>
    <t>NCT04737187</t>
  </si>
  <si>
    <t>NCT02775435</t>
  </si>
  <si>
    <t>NCT02586025</t>
  </si>
  <si>
    <t>NCT02449239</t>
  </si>
  <si>
    <t>NCT02492711</t>
  </si>
  <si>
    <t>NCT01413178</t>
  </si>
  <si>
    <t>NCT02809053</t>
  </si>
  <si>
    <t>NCT02027428</t>
  </si>
  <si>
    <t>NCT02220894</t>
  </si>
  <si>
    <t>NCT03302234</t>
  </si>
  <si>
    <t>NCT04209114</t>
  </si>
  <si>
    <t>NCT04100018</t>
  </si>
  <si>
    <t>NCT00774345</t>
  </si>
  <si>
    <t>NCT02604342</t>
  </si>
  <si>
    <t>NCT03195491</t>
  </si>
  <si>
    <t>NCT02785939</t>
  </si>
  <si>
    <t>NCT02741570</t>
  </si>
  <si>
    <t>NCT02702401</t>
  </si>
  <si>
    <t>NCT02752074</t>
  </si>
  <si>
    <t>NCT01908426</t>
  </si>
  <si>
    <t>NCT03197935</t>
  </si>
  <si>
    <t>NCT03085095</t>
  </si>
  <si>
    <t>NCT02667587</t>
  </si>
  <si>
    <t>NCT01968213</t>
  </si>
  <si>
    <t>NCT02066181</t>
  </si>
  <si>
    <t>NCT02576509</t>
  </si>
  <si>
    <t>NCT01802333</t>
  </si>
  <si>
    <t>NCT03829332</t>
  </si>
  <si>
    <t>NCT03834506</t>
  </si>
  <si>
    <t>NCT02272777</t>
  </si>
  <si>
    <t>Extension</t>
  </si>
  <si>
    <t>NCT02991482</t>
  </si>
  <si>
    <t>NCT02213263</t>
  </si>
  <si>
    <t>NCT02435433</t>
  </si>
  <si>
    <t>NCT02747043</t>
  </si>
  <si>
    <t>NCT01459497</t>
  </si>
  <si>
    <t>NCT04676412</t>
  </si>
  <si>
    <t>NCT03106987</t>
  </si>
  <si>
    <t>NCT01743989</t>
  </si>
  <si>
    <t>NCT00063882</t>
  </si>
  <si>
    <t>NCT03084471</t>
  </si>
  <si>
    <t>NCT03189719</t>
  </si>
  <si>
    <t>NCT02905266</t>
  </si>
  <si>
    <t>NCT01926197</t>
  </si>
  <si>
    <t>Solid_neoadjuvant</t>
  </si>
  <si>
    <t>Solid_topical</t>
  </si>
  <si>
    <t>Academic</t>
  </si>
  <si>
    <t>Non-profit</t>
  </si>
  <si>
    <t>total_withdrew_ineffective_tx</t>
  </si>
  <si>
    <t>Tx_withdrawl_no_reason_rate</t>
  </si>
  <si>
    <t>Cr_withdrawl_no_reason_rate</t>
  </si>
  <si>
    <t>n/a</t>
  </si>
  <si>
    <t>none</t>
  </si>
  <si>
    <t>Screener</t>
  </si>
  <si>
    <t>Tx_Arm_Patinet_Withdrawal_Consent</t>
  </si>
  <si>
    <t>Tx_am_lost_fu</t>
  </si>
  <si>
    <t>Tx_arm_noncomp</t>
  </si>
  <si>
    <t>Tx_arm_randomized_to_tx</t>
  </si>
  <si>
    <t>Cr_arm_patient_withdrawal_consent</t>
  </si>
  <si>
    <t>Cr_arm_lost_fu</t>
  </si>
  <si>
    <t>Cr_am_noncomp</t>
  </si>
  <si>
    <t>Cr_am_total_randomized+patients</t>
  </si>
  <si>
    <t>Anna</t>
  </si>
  <si>
    <t>Lexi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</si>
</sst>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/>
    <xf numFmtId="0" fontId="0" fillId="0" borderId="0" xfId="0" applyBorder="1"/>
    <xf numFmtId="0" fontId="3" fillId="0" borderId="0" xfId="0" applyFont="1" applyAlignment="1">
      <alignment wrapText="1"/>
    </xf>
    <xf numFmtId="2" fontId="0" fillId="0" borderId="0" xfId="0" applyNumberFormat="1"/>
    <xf numFmtId="2" fontId="3" fillId="0" borderId="0" xfId="0" applyNumberFormat="1" applyFont="1" applyAlignment="1">
      <alignment wrapText="1"/>
    </xf>
  </cellXfs>
  <cellStyles count="1">
    <cellStyle name="Normal" xfId="0" builtinId="0"/>
  </cellStyles>
  <dxfs count="5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B0D32-5696-9447-BC06-75D4EDC6BC15}" name="Table2" displayName="Table2" ref="A1:BI301" totalsRowShown="0" dataDxfId="56">
  <autoFilter ref="A1:BI301" xr:uid="{C78B0D32-5696-9447-BC06-75D4EDC6BC15}"/>
  <sortState xmlns:xlrd2="http://schemas.microsoft.com/office/spreadsheetml/2017/richdata2" ref="A2:BI301">
    <sortCondition descending="1" ref="A1:A301"/>
  </sortState>
  <tableColumns count="61">
    <tableColumn id="1" xr3:uid="{D08C14C9-FDFC-2240-95CF-B39EBD758863}" name="Trial_number" dataDxfId="55"/>
    <tableColumn id="2" xr3:uid="{F7A7972B-0707-E045-819C-61595951FB49}" name="Solid " dataDxfId="54"/>
    <tableColumn id="3" xr3:uid="{CCDE29AF-668D-6040-9DD3-22DC0086C886}" name="Heme" dataDxfId="53"/>
    <tableColumn id="52" xr3:uid="{38318CC3-3CC7-D64E-B1FD-B8E5086B4C42}" name="Solid_topical" dataDxfId="52"/>
    <tableColumn id="5" xr3:uid="{4E999BAC-AC72-9B41-9791-272F45AFFC11}" name="Solid_neoadjuvant" dataDxfId="51"/>
    <tableColumn id="6" xr3:uid="{AC808630-AE0C-6448-9126-748129DD7264}" name="Solid_radition_systemic_tx" dataDxfId="50"/>
    <tableColumn id="7" xr3:uid="{9E46DCAE-E24B-6248-BF6F-86B6AE67BF05}" name="Solid_adjuvant_after_defintive_tx" dataDxfId="49"/>
    <tableColumn id="8" xr3:uid="{4E02CD0C-36A7-1A48-8E4D-21E6BB92A0DA}" name="Solid_Metastatic_tx_naieve" dataDxfId="48"/>
    <tableColumn id="9" xr3:uid="{6F124AB5-5943-F648-9F40-C640FB6DFA5B}" name="Solid_Metastatic_2ndline_beyond" dataDxfId="47"/>
    <tableColumn id="10" xr3:uid="{C76BB5A6-2512-AB4B-8D62-6AD0C5F8ED22}" name="Heme_Treatment_naieve" dataDxfId="46"/>
    <tableColumn id="11" xr3:uid="{2C4B9841-52B0-0742-8CD0-B9B623310BE3}" name="Heme_Relapsed_and_or_referactory" dataDxfId="45"/>
    <tableColumn id="12" xr3:uid="{0AA0ACCF-6443-3340-B242-566941D98D9D}" name="Heme_BMT" dataDxfId="44"/>
    <tableColumn id="13" xr3:uid="{BEA46160-C3B9-DE40-8A40-A1ED296DB465}" name="Study_Type" dataDxfId="43"/>
    <tableColumn id="14" xr3:uid="{3E81A9C0-F206-C34D-8DA4-D52F03677DAF}" name="Randomized" dataDxfId="42"/>
    <tableColumn id="15" xr3:uid="{8805ACC7-248E-5E40-BD80-93D7B21F1EC3}" name="Follow_Up_Period_Years" dataDxfId="41"/>
    <tableColumn id="16" xr3:uid="{9239A872-8E7E-7747-B077-600B9EE0A6CA}" name="Mono_Or_Combo_Therapy_In_Control_Arm" dataDxfId="40"/>
    <tableColumn id="17" xr3:uid="{4ED1A349-343C-4144-9CEE-F6517736788D}" name="Mono_Or_Combo_Therapy_In_Interventional_Arm" dataDxfId="39"/>
    <tableColumn id="18" xr3:uid="{9371D107-B90D-AF44-9D56-F7E363559331}" name="Control_Group_1_placebo_2SOCalone_3_none" dataDxfId="38"/>
    <tableColumn id="19" xr3:uid="{C5EEB9AF-117E-F842-9769-4F7446046538}" name="Blinding_Practice_1_pt_blind_0_open" dataDxfId="37"/>
    <tableColumn id="20" xr3:uid="{ED2F3B81-84F5-CC4E-87FE-E352A1FADBB0}" name="Sponser" dataDxfId="36"/>
    <tableColumn id="21" xr3:uid="{C282A6EB-CD26-6249-8639-53B77E09A372}" name="Location_Of_Trial" dataDxfId="35"/>
    <tableColumn id="22" xr3:uid="{03BE2762-1B11-904A-96A9-18173DAFB19C}" name="Single_Site_Or_Multi_Site" dataDxfId="34"/>
    <tableColumn id="23" xr3:uid="{E1B5BA7C-214F-F547-B4BB-13526D5375B2}" name="Number_Enrolled_In_Trial" dataDxfId="33"/>
    <tableColumn id="24" xr3:uid="{F3DBA147-D5FD-9446-AC1F-8451E665B20B}" name="total_number_discontinuation" dataDxfId="32"/>
    <tableColumn id="25" xr3:uid="{68B4569B-3BE0-014D-8765-8F2BA6179E15}" name="discontinuation_rate_total" dataDxfId="31"/>
    <tableColumn id="26" xr3:uid="{DC7CC859-FDB5-9D41-8AC2-AE3E83930FAE}" name="total_withdrew_noreason" dataDxfId="30"/>
    <tableColumn id="27" xr3:uid="{B62BD686-152A-2348-A334-05CD1D30139B}" name="total_withdrew_because_ae" dataDxfId="29"/>
    <tableColumn id="28" xr3:uid="{6D370782-C3B2-3241-800D-56F35EF8B19F}" name="total_withdrew_because_pod" dataDxfId="28"/>
    <tableColumn id="29" xr3:uid="{BD6446EA-3F11-1B4F-9B94-8B5E91F0FDF5}" name="total_withdrew_because_complicationsmedical" dataDxfId="27"/>
    <tableColumn id="30" xr3:uid="{3CB0A0DA-B015-FE4E-BC77-75E2671AF770}" name="total_withdrew_because_othertx" dataDxfId="26"/>
    <tableColumn id="31" xr3:uid="{A0D2B6DF-D012-4142-BE04-389F0DD2E20D}" name="total_withdrew_because_exclusioncriteria" dataDxfId="25"/>
    <tableColumn id="32" xr3:uid="{DFEB9EE9-2B46-8B4C-82BC-262BA79DEFA1}" name="total_withdrew_because_noncompliance" dataDxfId="24"/>
    <tableColumn id="33" xr3:uid="{7279F234-9F40-FB49-9788-0CCCC9F22CA9}" name="total_withdrew_because_death" dataDxfId="23"/>
    <tableColumn id="34" xr3:uid="{33512BB7-553D-4A4A-A74A-746BDACF8657}" name="lost_fu" dataDxfId="22"/>
    <tableColumn id="4" xr3:uid="{C18A9A0E-036B-7248-91D4-31FAEA9A90D3}" name="total_withdrew_ineffective_tx" dataDxfId="21"/>
    <tableColumn id="35" xr3:uid="{89CD73A4-F015-0243-A905-53D9426CFC70}" name="total_withdrew_because_other_specified_reason" dataDxfId="20"/>
    <tableColumn id="36" xr3:uid="{9B519517-8492-C441-BA2B-2EDB0FF5AE30}" name="total_discontinued_study_termination" dataDxfId="19"/>
    <tableColumn id="37" xr3:uid="{820DAC67-9238-174C-AA71-428C86BAE047}" name="total_withdrawl_noreason_rate" dataDxfId="18"/>
    <tableColumn id="61" xr3:uid="{8D3C8F5D-5469-E94C-B0F7-8C57E08CB33C}" name="Screener"/>
    <tableColumn id="54" xr3:uid="{844752C7-43A1-444A-B2FE-873E53D87694}" name="Tx_Arm_Patinet_Withdrawal_Consent" dataDxfId="17"/>
    <tableColumn id="53" xr3:uid="{81C64225-24F9-BE4C-9462-0E22D9A680F5}" name="Tx_am_lost_fu" dataDxfId="16"/>
    <tableColumn id="48" xr3:uid="{AB36A84F-9929-5041-80D8-94F8CD85330D}" name="Tx_arm_noncomp"/>
    <tableColumn id="55" xr3:uid="{83491FB7-A2FB-F94F-B212-79141F273FD1}" name="Tx_arm_randomized_to_tx"/>
    <tableColumn id="43" xr3:uid="{B484B726-0943-B94C-BFB3-0C1B77644F9D}" name="Tx_withdrawl_no_reason_rate">
      <calculatedColumnFormula>(Table2[[#This Row],[Tx_Arm_Patinet_Withdrawal_Consent]]+Table2[[#This Row],[Tx_am_lost_fu]]+Table2[[#This Row],[Tx_arm_noncomp]])/Table2[[#This Row],[Tx_arm_randomized_to_tx]]</calculatedColumnFormula>
    </tableColumn>
    <tableColumn id="60" xr3:uid="{250BDAAD-B4C2-AF48-98DC-CA22D573F089}" name="Cr_arm_patient_withdrawal_consent"/>
    <tableColumn id="59" xr3:uid="{AA117B1A-1882-8941-968C-D63097F14F9B}" name="Cr_arm_lost_fu"/>
    <tableColumn id="58" xr3:uid="{49BEF1A9-43DF-3541-9CA4-C0EE1904D5AF}" name="Cr_am_noncomp"/>
    <tableColumn id="57" xr3:uid="{87C8E222-5574-E947-9FD9-AF12460C56F1}" name="Cr_am_total_randomized+patients"/>
    <tableColumn id="56" xr3:uid="{4B456BAF-5C24-7B45-8D23-AF1A35E53C0A}" name="Cr_withdrawl_no_reason_rate">
      <calculatedColumnFormula>(Table2[[#This Row],[Cr_arm_patient_withdrawal_consent]]+Table2[[#This Row],[Cr_arm_lost_fu]]+Table2[[#This Row],[Cr_am_noncomp]])/Table2[[#This Row],[Cr_am_total_randomized+patients]]</calculatedColumnFormula>
    </tableColumn>
    <tableColumn id="38" xr3:uid="{01F12E4B-2D03-5E43-9B5C-A68C704F5D42}" name="Contact_Patients_Lost_To_FU" dataDxfId="15"/>
    <tableColumn id="39" xr3:uid="{6049E86E-EFCC-BB47-BF70-55DC5FEEAFB8}" name="Encouragement" dataDxfId="14"/>
    <tableColumn id="40" xr3:uid="{A54C85D7-CD86-794E-B5EB-0BB16164067D}" name="Home_Nursing" dataDxfId="13"/>
    <tableColumn id="41" xr3:uid="{0C98F287-A014-1A48-B067-CE81F12EDE7E}" name="No_Mitigation_Stratigies" dataDxfId="12"/>
    <tableColumn id="42" xr3:uid="{6417FA01-FD52-F049-A7DF-D54570A8D823}" name="Patient_Education" dataDxfId="11"/>
    <tableColumn id="44" xr3:uid="{1BD59F10-E6AE-C647-95A6-AF5A439CC4B8}" name="Supportive_Care" dataDxfId="10"/>
    <tableColumn id="45" xr3:uid="{A6016C5C-FB03-6E48-9CD0-5CC97C14AE8F}" name="Telemedicine" dataDxfId="9"/>
    <tableColumn id="46" xr3:uid="{D08D400E-ECD4-E04D-B512-C1930D0E3471}" name="Non_Specific_Effort" dataDxfId="8"/>
    <tableColumn id="47" xr3:uid="{5503624B-1616-0A4F-B9D1-CF7F77BACECC}" name="Unblinding_Or_Cross_Over" dataDxfId="7"/>
    <tableColumn id="49" xr3:uid="{501E3F7D-70EB-5940-8EB8-76B39058D458}" name="Continued_Tx_After_Withdrawl_Or_Re_Challenge" dataDxfId="6"/>
    <tableColumn id="50" xr3:uid="{0B0F7CFA-7431-3443-9BBC-9865CA38202E}" name="Did_Trial_State_Need_For_Clearly_Documented_Reasons_For_Withdrawal" dataDxfId="5"/>
    <tableColumn id="51" xr3:uid="{ADD5D5E0-FE19-2947-B7DE-900EECB63667}" name="Data_Availability_After_Withdrawl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8FD-FD05-A24C-B346-C48E40EA61F2}">
  <dimension ref="A1:BI301"/>
  <sheetViews>
    <sheetView tabSelected="1" topLeftCell="AM1" workbookViewId="0">
      <selection activeCell="AN1" sqref="AN1:AW301"/>
    </sheetView>
  </sheetViews>
  <sheetFormatPr baseColWidth="10" defaultRowHeight="16" x14ac:dyDescent="0.2"/>
  <cols>
    <col min="1" max="1" width="14" customWidth="1"/>
    <col min="2" max="3" width="10.83203125" hidden="1" customWidth="1"/>
    <col min="4" max="4" width="26.1640625" hidden="1" customWidth="1"/>
    <col min="5" max="5" width="25" hidden="1" customWidth="1"/>
    <col min="6" max="6" width="30.1640625" hidden="1" customWidth="1"/>
    <col min="7" max="7" width="25.6640625" hidden="1" customWidth="1"/>
    <col min="8" max="8" width="30.6640625" hidden="1" customWidth="1"/>
    <col min="9" max="9" width="23.6640625" hidden="1" customWidth="1"/>
    <col min="10" max="10" width="32.83203125" hidden="1" customWidth="1"/>
    <col min="11" max="11" width="12.6640625" hidden="1" customWidth="1"/>
    <col min="12" max="12" width="12.5" hidden="1" customWidth="1"/>
    <col min="13" max="13" width="13.5" hidden="1" customWidth="1"/>
    <col min="14" max="14" width="23.1640625" hidden="1" customWidth="1"/>
    <col min="15" max="15" width="38" hidden="1" customWidth="1"/>
    <col min="16" max="16" width="43.1640625" hidden="1" customWidth="1"/>
    <col min="17" max="17" width="41.33203125" hidden="1" customWidth="1"/>
    <col min="18" max="18" width="33.5" hidden="1" customWidth="1"/>
    <col min="19" max="19" width="10.83203125" hidden="1" customWidth="1"/>
    <col min="20" max="20" width="17.5" hidden="1" customWidth="1"/>
    <col min="21" max="21" width="24.1640625" hidden="1" customWidth="1"/>
    <col min="22" max="22" width="24.33203125" hidden="1" customWidth="1"/>
    <col min="23" max="23" width="27.83203125" hidden="1" customWidth="1"/>
    <col min="24" max="24" width="25" hidden="1" customWidth="1"/>
    <col min="25" max="25" width="24" hidden="1" customWidth="1"/>
    <col min="26" max="26" width="26.1640625" hidden="1" customWidth="1"/>
    <col min="27" max="27" width="27.1640625" hidden="1" customWidth="1"/>
    <col min="28" max="28" width="42.1640625" hidden="1" customWidth="1"/>
    <col min="29" max="29" width="30" hidden="1" customWidth="1"/>
    <col min="30" max="30" width="37.83203125" hidden="1" customWidth="1"/>
    <col min="31" max="31" width="36.6640625" hidden="1" customWidth="1"/>
    <col min="32" max="32" width="28.83203125" hidden="1" customWidth="1"/>
    <col min="33" max="33" width="0" hidden="1" customWidth="1"/>
    <col min="34" max="35" width="43" hidden="1" customWidth="1"/>
    <col min="36" max="36" width="34.1640625" hidden="1" customWidth="1"/>
    <col min="37" max="37" width="28.6640625" hidden="1" customWidth="1"/>
    <col min="38" max="38" width="27.5" hidden="1" customWidth="1"/>
    <col min="39" max="39" width="15.1640625" customWidth="1"/>
    <col min="40" max="40" width="14.33203125" customWidth="1"/>
    <col min="41" max="41" width="24.5" style="3" customWidth="1"/>
    <col min="42" max="42" width="9.33203125" customWidth="1"/>
    <col min="43" max="43" width="11.1640625" customWidth="1"/>
    <col min="44" max="44" width="17.1640625" style="8" customWidth="1"/>
    <col min="45" max="45" width="9.6640625" customWidth="1"/>
    <col min="46" max="46" width="15.33203125" customWidth="1"/>
    <col min="47" max="47" width="8.6640625" customWidth="1"/>
    <col min="48" max="48" width="27.5" customWidth="1"/>
    <col min="49" max="49" width="27.5" style="8" customWidth="1"/>
    <col min="50" max="50" width="16.1640625" hidden="1" customWidth="1"/>
    <col min="51" max="51" width="15.33203125" hidden="1" customWidth="1"/>
    <col min="52" max="52" width="23.33203125" hidden="1" customWidth="1"/>
    <col min="53" max="53" width="18.33203125" hidden="1" customWidth="1"/>
    <col min="54" max="54" width="21.6640625" hidden="1" customWidth="1"/>
    <col min="55" max="55" width="14.33203125" hidden="1" customWidth="1"/>
    <col min="56" max="56" width="19.33203125" hidden="1" customWidth="1"/>
    <col min="57" max="57" width="25" hidden="1" customWidth="1"/>
    <col min="58" max="58" width="31" hidden="1" customWidth="1"/>
    <col min="59" max="59" width="63.83203125" hidden="1" customWidth="1"/>
    <col min="60" max="60" width="31" hidden="1" customWidth="1"/>
    <col min="61" max="61" width="0" hidden="1" customWidth="1"/>
  </cols>
  <sheetData>
    <row r="1" spans="1:61" s="7" customFormat="1" ht="85" x14ac:dyDescent="0.2">
      <c r="A1" s="7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370</v>
      </c>
      <c r="AJ1" t="s">
        <v>32</v>
      </c>
      <c r="AK1" t="s">
        <v>33</v>
      </c>
      <c r="AL1" t="s">
        <v>34</v>
      </c>
      <c r="AM1" s="7" t="s">
        <v>375</v>
      </c>
      <c r="AN1" s="7" t="s">
        <v>376</v>
      </c>
      <c r="AO1" s="7" t="s">
        <v>377</v>
      </c>
      <c r="AP1" s="7" t="s">
        <v>378</v>
      </c>
      <c r="AQ1" s="7" t="s">
        <v>379</v>
      </c>
      <c r="AR1" s="9" t="s">
        <v>371</v>
      </c>
      <c r="AS1" s="7" t="s">
        <v>380</v>
      </c>
      <c r="AT1" s="7" t="s">
        <v>381</v>
      </c>
      <c r="AU1" s="7" t="s">
        <v>382</v>
      </c>
      <c r="AV1" s="7" t="s">
        <v>383</v>
      </c>
      <c r="AW1" s="9" t="s">
        <v>372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</row>
    <row r="2" spans="1:61" x14ac:dyDescent="0.2">
      <c r="A2" t="s">
        <v>322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 t="s">
        <v>48</v>
      </c>
      <c r="N2">
        <v>1</v>
      </c>
      <c r="O2">
        <v>2.5861111111111108</v>
      </c>
      <c r="P2" t="s">
        <v>56</v>
      </c>
      <c r="Q2" t="s">
        <v>50</v>
      </c>
      <c r="R2">
        <v>2</v>
      </c>
      <c r="S2">
        <v>0</v>
      </c>
      <c r="T2" t="s">
        <v>51</v>
      </c>
      <c r="U2" t="s">
        <v>52</v>
      </c>
      <c r="V2" t="s">
        <v>53</v>
      </c>
      <c r="W2">
        <v>492</v>
      </c>
      <c r="X2">
        <v>492</v>
      </c>
      <c r="Y2">
        <v>1</v>
      </c>
      <c r="Z2">
        <v>13</v>
      </c>
      <c r="AA2">
        <v>32</v>
      </c>
      <c r="AB2">
        <v>409</v>
      </c>
      <c r="AC2">
        <v>0</v>
      </c>
      <c r="AD2">
        <v>36</v>
      </c>
      <c r="AE2">
        <v>0</v>
      </c>
      <c r="AF2">
        <v>2</v>
      </c>
      <c r="AG2">
        <v>0</v>
      </c>
      <c r="AH2">
        <v>0</v>
      </c>
      <c r="AJ2">
        <v>0</v>
      </c>
      <c r="AK2">
        <v>0</v>
      </c>
      <c r="AL2">
        <v>3.048780487804878E-2</v>
      </c>
      <c r="AN2">
        <v>5</v>
      </c>
      <c r="AO2" s="3">
        <v>0</v>
      </c>
      <c r="AQ2">
        <v>246</v>
      </c>
      <c r="AR2">
        <f>(Table2[[#This Row],[Tx_Arm_Patinet_Withdrawal_Consent]]+Table2[[#This Row],[Tx_am_lost_fu]]+Table2[[#This Row],[Tx_arm_noncomp]])/Table2[[#This Row],[Tx_arm_randomized_to_tx]]</f>
        <v>2.032520325203252E-2</v>
      </c>
      <c r="AS2">
        <v>8</v>
      </c>
      <c r="AV2">
        <v>246</v>
      </c>
      <c r="AW2">
        <f>(Table2[[#This Row],[Cr_arm_patient_withdrawal_consent]]+Table2[[#This Row],[Cr_arm_lost_fu]]+Table2[[#This Row],[Cr_am_noncomp]])/Table2[[#This Row],[Cr_am_total_randomized+patients]]</f>
        <v>3.2520325203252036E-2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 t="s">
        <v>54</v>
      </c>
      <c r="BI2" t="s">
        <v>54</v>
      </c>
    </row>
    <row r="3" spans="1:61" x14ac:dyDescent="0.2">
      <c r="A3" t="s">
        <v>358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 t="s">
        <v>48</v>
      </c>
      <c r="N3">
        <v>1</v>
      </c>
      <c r="O3">
        <v>4.1388888888888893</v>
      </c>
      <c r="P3" t="s">
        <v>50</v>
      </c>
      <c r="Q3" t="s">
        <v>50</v>
      </c>
      <c r="R3">
        <v>1</v>
      </c>
      <c r="S3">
        <v>1</v>
      </c>
      <c r="T3" t="s">
        <v>51</v>
      </c>
      <c r="U3" t="s">
        <v>52</v>
      </c>
      <c r="V3" t="s">
        <v>53</v>
      </c>
      <c r="W3">
        <v>107</v>
      </c>
      <c r="X3">
        <v>42</v>
      </c>
      <c r="Y3">
        <v>0.3925233644859813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40</v>
      </c>
      <c r="AH3">
        <v>0</v>
      </c>
      <c r="AJ3">
        <v>0</v>
      </c>
      <c r="AK3">
        <v>0</v>
      </c>
      <c r="AL3">
        <v>1.8691588785046728E-2</v>
      </c>
      <c r="AN3">
        <v>0</v>
      </c>
      <c r="AO3" s="3">
        <v>0</v>
      </c>
      <c r="AQ3">
        <v>49</v>
      </c>
      <c r="AR3">
        <f>(Table2[[#This Row],[Tx_Arm_Patinet_Withdrawal_Consent]]+Table2[[#This Row],[Tx_am_lost_fu]]+Table2[[#This Row],[Tx_arm_noncomp]])/Table2[[#This Row],[Tx_arm_randomized_to_tx]]</f>
        <v>0</v>
      </c>
      <c r="AS3">
        <v>2</v>
      </c>
      <c r="AV3">
        <v>58</v>
      </c>
      <c r="AW3">
        <f>(Table2[[#This Row],[Cr_arm_patient_withdrawal_consent]]+Table2[[#This Row],[Cr_arm_lost_fu]]+Table2[[#This Row],[Cr_am_noncomp]])/Table2[[#This Row],[Cr_am_total_randomized+patients]]</f>
        <v>3.4482758620689655E-2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 t="s">
        <v>54</v>
      </c>
      <c r="BI3" t="s">
        <v>63</v>
      </c>
    </row>
    <row r="4" spans="1:61" x14ac:dyDescent="0.2">
      <c r="A4" t="s">
        <v>59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 t="s">
        <v>60</v>
      </c>
      <c r="N4">
        <v>0</v>
      </c>
      <c r="O4">
        <v>0.1</v>
      </c>
      <c r="P4" t="s">
        <v>61</v>
      </c>
      <c r="Q4" t="s">
        <v>56</v>
      </c>
      <c r="R4">
        <v>3</v>
      </c>
      <c r="S4">
        <v>0</v>
      </c>
      <c r="T4" t="s">
        <v>51</v>
      </c>
      <c r="U4" t="s">
        <v>52</v>
      </c>
      <c r="V4" t="s">
        <v>53</v>
      </c>
      <c r="W4">
        <v>56</v>
      </c>
      <c r="X4">
        <v>24</v>
      </c>
      <c r="Y4">
        <v>0.42857142857142855</v>
      </c>
      <c r="Z4">
        <v>3</v>
      </c>
      <c r="AA4">
        <v>4</v>
      </c>
      <c r="AB4">
        <v>1</v>
      </c>
      <c r="AC4">
        <v>0</v>
      </c>
      <c r="AD4">
        <v>0</v>
      </c>
      <c r="AE4">
        <v>0</v>
      </c>
      <c r="AF4">
        <v>15</v>
      </c>
      <c r="AG4">
        <v>0</v>
      </c>
      <c r="AH4">
        <v>0</v>
      </c>
      <c r="AJ4">
        <v>1</v>
      </c>
      <c r="AK4">
        <v>0</v>
      </c>
      <c r="AL4">
        <v>0.32142857142857145</v>
      </c>
      <c r="AN4">
        <v>3</v>
      </c>
      <c r="AO4" s="3">
        <v>0</v>
      </c>
      <c r="AQ4">
        <v>56</v>
      </c>
      <c r="AR4">
        <f>(Table2[[#This Row],[Tx_Arm_Patinet_Withdrawal_Consent]]+Table2[[#This Row],[Tx_am_lost_fu]]+Table2[[#This Row],[Tx_arm_noncomp]])/Table2[[#This Row],[Tx_arm_randomized_to_tx]]</f>
        <v>5.3571428571428568E-2</v>
      </c>
      <c r="AS4" t="s">
        <v>373</v>
      </c>
      <c r="AT4" t="s">
        <v>373</v>
      </c>
      <c r="AU4" t="s">
        <v>373</v>
      </c>
      <c r="AV4" t="s">
        <v>49</v>
      </c>
      <c r="AW4" t="e">
        <f>(Table2[[#This Row],[Cr_arm_patient_withdrawal_consent]]+Table2[[#This Row],[Cr_arm_lost_fu]]+Table2[[#This Row],[Cr_am_noncomp]])/Table2[[#This Row],[Cr_am_total_randomized+patients]]</f>
        <v>#VALUE!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 t="s">
        <v>54</v>
      </c>
      <c r="BI4" t="s">
        <v>54</v>
      </c>
    </row>
    <row r="5" spans="1:61" x14ac:dyDescent="0.2">
      <c r="A5" s="5" t="s">
        <v>310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 t="s">
        <v>48</v>
      </c>
      <c r="N5">
        <v>1</v>
      </c>
      <c r="O5">
        <v>7.4722222222222223</v>
      </c>
      <c r="P5" t="s">
        <v>50</v>
      </c>
      <c r="Q5" t="s">
        <v>50</v>
      </c>
      <c r="R5">
        <v>1</v>
      </c>
      <c r="S5">
        <v>1</v>
      </c>
      <c r="T5" t="s">
        <v>51</v>
      </c>
      <c r="U5" t="s">
        <v>52</v>
      </c>
      <c r="V5" t="s">
        <v>53</v>
      </c>
      <c r="W5">
        <v>30</v>
      </c>
      <c r="X5">
        <v>29</v>
      </c>
      <c r="Y5">
        <v>0.96666666666666667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3</v>
      </c>
      <c r="AH5" s="2">
        <v>0</v>
      </c>
      <c r="AI5" s="2"/>
      <c r="AJ5" s="2">
        <v>3</v>
      </c>
      <c r="AK5" s="2">
        <v>22</v>
      </c>
      <c r="AL5">
        <v>3.3333333333333333E-2</v>
      </c>
      <c r="AM5" t="s">
        <v>385</v>
      </c>
      <c r="AN5">
        <v>1</v>
      </c>
      <c r="AQ5">
        <v>15</v>
      </c>
      <c r="AR5" s="8">
        <f>(Table2[[#This Row],[Tx_Arm_Patinet_Withdrawal_Consent]]+Table2[[#This Row],[Tx_am_lost_fu]]+Table2[[#This Row],[Tx_arm_noncomp]])/Table2[[#This Row],[Tx_arm_randomized_to_tx]]</f>
        <v>6.6666666666666666E-2</v>
      </c>
      <c r="AS5">
        <v>0</v>
      </c>
      <c r="AV5">
        <v>15</v>
      </c>
      <c r="AW5" s="8">
        <f>(Table2[[#This Row],[Cr_arm_patient_withdrawal_consent]]+Table2[[#This Row],[Cr_arm_lost_fu]]+Table2[[#This Row],[Cr_am_noncomp]])/Table2[[#This Row],[Cr_am_total_randomized+patients]]</f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 t="s">
        <v>54</v>
      </c>
      <c r="BI5" t="s">
        <v>54</v>
      </c>
    </row>
    <row r="6" spans="1:61" x14ac:dyDescent="0.2">
      <c r="A6" t="s">
        <v>210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 t="s">
        <v>48</v>
      </c>
      <c r="N6">
        <v>1</v>
      </c>
      <c r="O6">
        <v>3.3555555555555561</v>
      </c>
      <c r="P6" t="s">
        <v>50</v>
      </c>
      <c r="Q6" t="s">
        <v>50</v>
      </c>
      <c r="R6">
        <v>2</v>
      </c>
      <c r="S6">
        <v>1</v>
      </c>
      <c r="T6" t="s">
        <v>51</v>
      </c>
      <c r="U6" t="s">
        <v>52</v>
      </c>
      <c r="V6" t="s">
        <v>53</v>
      </c>
      <c r="W6">
        <v>671</v>
      </c>
      <c r="X6">
        <v>523</v>
      </c>
      <c r="Y6">
        <v>0.77943368107302535</v>
      </c>
      <c r="Z6">
        <v>42</v>
      </c>
      <c r="AA6">
        <v>75</v>
      </c>
      <c r="AB6">
        <v>358</v>
      </c>
      <c r="AC6">
        <v>0</v>
      </c>
      <c r="AD6">
        <v>0</v>
      </c>
      <c r="AE6">
        <v>24</v>
      </c>
      <c r="AF6">
        <v>1</v>
      </c>
      <c r="AG6">
        <v>0</v>
      </c>
      <c r="AH6">
        <v>2</v>
      </c>
      <c r="AJ6">
        <v>21</v>
      </c>
      <c r="AK6">
        <v>0</v>
      </c>
      <c r="AL6">
        <v>6.7064083457526083E-2</v>
      </c>
      <c r="AN6">
        <v>10</v>
      </c>
      <c r="AO6" s="3">
        <v>3</v>
      </c>
      <c r="AP6">
        <v>4</v>
      </c>
      <c r="AQ6">
        <v>335</v>
      </c>
      <c r="AR6">
        <f>(Table2[[#This Row],[Tx_Arm_Patinet_Withdrawal_Consent]]+Table2[[#This Row],[Tx_am_lost_fu]]+Table2[[#This Row],[Tx_arm_noncomp]])/Table2[[#This Row],[Tx_arm_randomized_to_tx]]</f>
        <v>5.0746268656716415E-2</v>
      </c>
      <c r="AS6">
        <v>8</v>
      </c>
      <c r="AT6">
        <v>5</v>
      </c>
      <c r="AU6">
        <v>12</v>
      </c>
      <c r="AV6">
        <v>329</v>
      </c>
      <c r="AW6">
        <f>(Table2[[#This Row],[Cr_arm_patient_withdrawal_consent]]+Table2[[#This Row],[Cr_arm_lost_fu]]+Table2[[#This Row],[Cr_am_noncomp]])/Table2[[#This Row],[Cr_am_total_randomized+patients]]</f>
        <v>7.598784194528875E-2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54</v>
      </c>
      <c r="BI6" t="s">
        <v>54</v>
      </c>
    </row>
    <row r="7" spans="1:61" x14ac:dyDescent="0.2">
      <c r="A7" t="s">
        <v>241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t="s">
        <v>48</v>
      </c>
      <c r="N7">
        <v>1</v>
      </c>
      <c r="O7">
        <v>6.4</v>
      </c>
      <c r="P7" t="s">
        <v>50</v>
      </c>
      <c r="Q7" t="s">
        <v>50</v>
      </c>
      <c r="R7">
        <v>2</v>
      </c>
      <c r="S7">
        <v>0</v>
      </c>
      <c r="T7" t="s">
        <v>51</v>
      </c>
      <c r="U7" t="s">
        <v>52</v>
      </c>
      <c r="V7" t="s">
        <v>53</v>
      </c>
      <c r="W7">
        <v>335</v>
      </c>
      <c r="X7">
        <v>335</v>
      </c>
      <c r="Y7">
        <v>1</v>
      </c>
      <c r="Z7">
        <v>17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150</v>
      </c>
      <c r="AH7">
        <v>0</v>
      </c>
      <c r="AJ7">
        <v>0</v>
      </c>
      <c r="AK7">
        <v>166</v>
      </c>
      <c r="AL7">
        <v>5.6716417910447764E-2</v>
      </c>
      <c r="AN7">
        <v>12</v>
      </c>
      <c r="AO7" s="3">
        <v>0</v>
      </c>
      <c r="AQ7">
        <v>226</v>
      </c>
      <c r="AR7">
        <f>(Table2[[#This Row],[Tx_Arm_Patinet_Withdrawal_Consent]]+Table2[[#This Row],[Tx_am_lost_fu]]+Table2[[#This Row],[Tx_arm_noncomp]])/Table2[[#This Row],[Tx_arm_randomized_to_tx]]</f>
        <v>5.3097345132743362E-2</v>
      </c>
      <c r="AS7">
        <v>5</v>
      </c>
      <c r="AV7">
        <v>109</v>
      </c>
      <c r="AW7">
        <f>(Table2[[#This Row],[Cr_arm_patient_withdrawal_consent]]+Table2[[#This Row],[Cr_arm_lost_fu]]+Table2[[#This Row],[Cr_am_noncomp]])/Table2[[#This Row],[Cr_am_total_randomized+patients]]</f>
        <v>4.5871559633027525E-2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 t="s">
        <v>54</v>
      </c>
      <c r="BI7" t="s">
        <v>54</v>
      </c>
    </row>
    <row r="8" spans="1:61" x14ac:dyDescent="0.2">
      <c r="A8" t="s">
        <v>130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 t="s">
        <v>48</v>
      </c>
      <c r="N8">
        <v>1</v>
      </c>
      <c r="O8">
        <v>9.3305555555555557</v>
      </c>
      <c r="P8" t="s">
        <v>50</v>
      </c>
      <c r="Q8" t="s">
        <v>50</v>
      </c>
      <c r="R8">
        <v>1</v>
      </c>
      <c r="S8">
        <v>1</v>
      </c>
      <c r="T8" t="s">
        <v>51</v>
      </c>
      <c r="U8" t="s">
        <v>52</v>
      </c>
      <c r="V8" t="s">
        <v>53</v>
      </c>
      <c r="W8">
        <v>89</v>
      </c>
      <c r="X8">
        <v>20</v>
      </c>
      <c r="Y8">
        <v>0.2247191011235955</v>
      </c>
      <c r="Z8">
        <v>7</v>
      </c>
      <c r="AA8">
        <v>0</v>
      </c>
      <c r="AB8">
        <v>0</v>
      </c>
      <c r="AC8">
        <v>0</v>
      </c>
      <c r="AD8">
        <v>0</v>
      </c>
      <c r="AE8">
        <v>0</v>
      </c>
      <c r="AF8">
        <v>3</v>
      </c>
      <c r="AG8">
        <v>10</v>
      </c>
      <c r="AH8">
        <v>0</v>
      </c>
      <c r="AJ8">
        <v>0</v>
      </c>
      <c r="AK8">
        <v>0</v>
      </c>
      <c r="AL8">
        <v>0.11235955056179775</v>
      </c>
      <c r="AN8">
        <v>4</v>
      </c>
      <c r="AO8" s="3">
        <v>0</v>
      </c>
      <c r="AQ8">
        <v>45</v>
      </c>
      <c r="AR8">
        <f>(Table2[[#This Row],[Tx_Arm_Patinet_Withdrawal_Consent]]+Table2[[#This Row],[Tx_am_lost_fu]]+Table2[[#This Row],[Tx_arm_noncomp]])/Table2[[#This Row],[Tx_arm_randomized_to_tx]]</f>
        <v>8.8888888888888892E-2</v>
      </c>
      <c r="AS8">
        <v>3</v>
      </c>
      <c r="AV8">
        <v>44</v>
      </c>
      <c r="AW8">
        <f>(Table2[[#This Row],[Cr_arm_patient_withdrawal_consent]]+Table2[[#This Row],[Cr_arm_lost_fu]]+Table2[[#This Row],[Cr_am_noncomp]])/Table2[[#This Row],[Cr_am_total_randomized+patients]]</f>
        <v>6.8181818181818177E-2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 t="s">
        <v>54</v>
      </c>
      <c r="BI8" t="s">
        <v>54</v>
      </c>
    </row>
    <row r="9" spans="1:61" x14ac:dyDescent="0.2">
      <c r="A9" t="s">
        <v>291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 t="s">
        <v>69</v>
      </c>
      <c r="N9">
        <v>0</v>
      </c>
      <c r="O9">
        <v>2.994444444444444</v>
      </c>
      <c r="P9" t="s">
        <v>50</v>
      </c>
      <c r="Q9" t="s">
        <v>50</v>
      </c>
      <c r="R9">
        <v>3</v>
      </c>
      <c r="S9">
        <v>0</v>
      </c>
      <c r="T9" t="s">
        <v>51</v>
      </c>
      <c r="U9" t="s">
        <v>52</v>
      </c>
      <c r="V9" t="s">
        <v>53</v>
      </c>
      <c r="W9">
        <v>106</v>
      </c>
      <c r="X9">
        <v>68</v>
      </c>
      <c r="Y9">
        <v>0.64150943396226412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62</v>
      </c>
      <c r="AH9">
        <v>3</v>
      </c>
      <c r="AJ9">
        <v>2</v>
      </c>
      <c r="AK9">
        <v>0</v>
      </c>
      <c r="AL9">
        <v>3.7735849056603772E-2</v>
      </c>
      <c r="AN9">
        <v>1</v>
      </c>
      <c r="AO9" s="3">
        <v>0</v>
      </c>
      <c r="AQ9">
        <v>106</v>
      </c>
      <c r="AR9">
        <f>(Table2[[#This Row],[Tx_Arm_Patinet_Withdrawal_Consent]]+Table2[[#This Row],[Tx_am_lost_fu]]+Table2[[#This Row],[Tx_arm_noncomp]])/Table2[[#This Row],[Tx_arm_randomized_to_tx]]</f>
        <v>9.433962264150943E-3</v>
      </c>
      <c r="AS9" t="s">
        <v>373</v>
      </c>
      <c r="AT9" t="s">
        <v>373</v>
      </c>
      <c r="AU9" t="s">
        <v>373</v>
      </c>
      <c r="AV9" t="s">
        <v>49</v>
      </c>
      <c r="AW9" t="e">
        <f>(Table2[[#This Row],[Cr_arm_patient_withdrawal_consent]]+Table2[[#This Row],[Cr_arm_lost_fu]]+Table2[[#This Row],[Cr_am_noncomp]])/Table2[[#This Row],[Cr_am_total_randomized+patients]]</f>
        <v>#VALUE!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 t="s">
        <v>54</v>
      </c>
      <c r="BI9" t="s">
        <v>54</v>
      </c>
    </row>
    <row r="10" spans="1:61" x14ac:dyDescent="0.2">
      <c r="A10" t="s">
        <v>332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48</v>
      </c>
      <c r="N10">
        <v>1</v>
      </c>
      <c r="O10">
        <v>2.333333333333333</v>
      </c>
      <c r="P10" t="s">
        <v>56</v>
      </c>
      <c r="Q10" t="s">
        <v>50</v>
      </c>
      <c r="R10">
        <v>2</v>
      </c>
      <c r="S10">
        <v>0</v>
      </c>
      <c r="T10" t="s">
        <v>51</v>
      </c>
      <c r="U10" t="s">
        <v>52</v>
      </c>
      <c r="V10" t="s">
        <v>53</v>
      </c>
      <c r="W10">
        <v>114</v>
      </c>
      <c r="X10">
        <v>54</v>
      </c>
      <c r="Y10">
        <v>0.47368421052631576</v>
      </c>
      <c r="Z10">
        <v>2</v>
      </c>
      <c r="AA10">
        <v>10</v>
      </c>
      <c r="AB10">
        <v>15</v>
      </c>
      <c r="AC10">
        <v>0</v>
      </c>
      <c r="AD10">
        <v>0</v>
      </c>
      <c r="AE10">
        <v>0</v>
      </c>
      <c r="AF10">
        <v>0</v>
      </c>
      <c r="AG10">
        <v>6</v>
      </c>
      <c r="AH10">
        <v>1</v>
      </c>
      <c r="AJ10">
        <v>20</v>
      </c>
      <c r="AK10">
        <v>0</v>
      </c>
      <c r="AL10">
        <v>2.6315789473684209E-2</v>
      </c>
      <c r="AN10">
        <v>1</v>
      </c>
      <c r="AO10" s="3">
        <v>0</v>
      </c>
      <c r="AQ10">
        <v>74</v>
      </c>
      <c r="AR10">
        <f>(Table2[[#This Row],[Tx_Arm_Patinet_Withdrawal_Consent]]+Table2[[#This Row],[Tx_am_lost_fu]]+Table2[[#This Row],[Tx_arm_noncomp]])/Table2[[#This Row],[Tx_arm_randomized_to_tx]]</f>
        <v>1.3513513513513514E-2</v>
      </c>
      <c r="AS10">
        <v>1</v>
      </c>
      <c r="AV10">
        <v>32</v>
      </c>
      <c r="AW10">
        <f>(Table2[[#This Row],[Cr_arm_patient_withdrawal_consent]]+Table2[[#This Row],[Cr_arm_lost_fu]]+Table2[[#This Row],[Cr_am_noncomp]])/Table2[[#This Row],[Cr_am_total_randomized+patients]]</f>
        <v>3.125E-2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 t="s">
        <v>54</v>
      </c>
      <c r="BI10" t="s">
        <v>54</v>
      </c>
    </row>
    <row r="11" spans="1:61" x14ac:dyDescent="0.2">
      <c r="A11" t="s">
        <v>47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 t="s">
        <v>48</v>
      </c>
      <c r="N11">
        <v>1</v>
      </c>
      <c r="O11" t="s">
        <v>49</v>
      </c>
      <c r="P11" t="s">
        <v>50</v>
      </c>
      <c r="Q11" t="s">
        <v>50</v>
      </c>
      <c r="R11">
        <v>1</v>
      </c>
      <c r="S11">
        <v>1</v>
      </c>
      <c r="T11" t="s">
        <v>51</v>
      </c>
      <c r="U11" t="s">
        <v>52</v>
      </c>
      <c r="V11" t="s">
        <v>53</v>
      </c>
      <c r="W11">
        <v>242</v>
      </c>
      <c r="X11">
        <v>242</v>
      </c>
      <c r="Y11">
        <v>1</v>
      </c>
      <c r="Z11">
        <v>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108</v>
      </c>
      <c r="AG11">
        <v>83</v>
      </c>
      <c r="AH11">
        <v>3</v>
      </c>
      <c r="AJ11">
        <v>3</v>
      </c>
      <c r="AK11">
        <v>0</v>
      </c>
      <c r="AL11">
        <v>0.64462809917355368</v>
      </c>
      <c r="AN11">
        <v>15</v>
      </c>
      <c r="AO11" s="3">
        <v>0</v>
      </c>
      <c r="AQ11">
        <v>101</v>
      </c>
      <c r="AR11">
        <f>(Table2[[#This Row],[Tx_Arm_Patinet_Withdrawal_Consent]]+Table2[[#This Row],[Tx_am_lost_fu]]+Table2[[#This Row],[Tx_arm_noncomp]])/Table2[[#This Row],[Tx_arm_randomized_to_tx]]</f>
        <v>0.14851485148514851</v>
      </c>
      <c r="AS11">
        <v>30</v>
      </c>
      <c r="AV11">
        <v>141</v>
      </c>
      <c r="AW11">
        <f>(Table2[[#This Row],[Cr_arm_patient_withdrawal_consent]]+Table2[[#This Row],[Cr_arm_lost_fu]]+Table2[[#This Row],[Cr_am_noncomp]])/Table2[[#This Row],[Cr_am_total_randomized+patients]]</f>
        <v>0.21276595744680851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 t="s">
        <v>54</v>
      </c>
      <c r="BI11" t="s">
        <v>54</v>
      </c>
    </row>
    <row r="12" spans="1:61" x14ac:dyDescent="0.2">
      <c r="A12" s="5" t="s">
        <v>249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 t="s">
        <v>69</v>
      </c>
      <c r="N12">
        <v>0</v>
      </c>
      <c r="O12">
        <v>0.40833333333333333</v>
      </c>
      <c r="P12" t="s">
        <v>56</v>
      </c>
      <c r="Q12" t="s">
        <v>56</v>
      </c>
      <c r="R12">
        <v>3</v>
      </c>
      <c r="S12">
        <v>0</v>
      </c>
      <c r="T12" t="s">
        <v>51</v>
      </c>
      <c r="U12" t="s">
        <v>52</v>
      </c>
      <c r="V12" t="s">
        <v>53</v>
      </c>
      <c r="W12">
        <v>167</v>
      </c>
      <c r="X12">
        <v>36</v>
      </c>
      <c r="Y12">
        <v>0.21556886227544911</v>
      </c>
      <c r="Z12">
        <v>1</v>
      </c>
      <c r="AA12">
        <v>22</v>
      </c>
      <c r="AB12">
        <v>3</v>
      </c>
      <c r="AC12">
        <v>0</v>
      </c>
      <c r="AD12">
        <v>0</v>
      </c>
      <c r="AE12">
        <v>0</v>
      </c>
      <c r="AF12">
        <v>8</v>
      </c>
      <c r="AG12">
        <v>0</v>
      </c>
      <c r="AH12">
        <v>0</v>
      </c>
      <c r="AJ12">
        <v>2</v>
      </c>
      <c r="AK12">
        <v>0</v>
      </c>
      <c r="AL12">
        <v>5.3892215568862277E-2</v>
      </c>
      <c r="AM12" t="s">
        <v>385</v>
      </c>
      <c r="AN12">
        <v>1</v>
      </c>
      <c r="AQ12">
        <v>167</v>
      </c>
      <c r="AR12" s="8">
        <f>(Table2[[#This Row],[Tx_Arm_Patinet_Withdrawal_Consent]]+Table2[[#This Row],[Tx_am_lost_fu]]+Table2[[#This Row],[Tx_arm_noncomp]])/Table2[[#This Row],[Tx_arm_randomized_to_tx]]</f>
        <v>5.9880239520958087E-3</v>
      </c>
      <c r="AS12" t="s">
        <v>373</v>
      </c>
      <c r="AT12" t="s">
        <v>373</v>
      </c>
      <c r="AU12" t="s">
        <v>373</v>
      </c>
      <c r="AV12" t="s">
        <v>373</v>
      </c>
      <c r="AW12" s="8" t="e">
        <f>(Table2[[#This Row],[Cr_arm_patient_withdrawal_consent]]+Table2[[#This Row],[Cr_arm_lost_fu]]+Table2[[#This Row],[Cr_am_noncomp]])/Table2[[#This Row],[Cr_am_total_randomized+patients]]</f>
        <v>#VALUE!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54</v>
      </c>
      <c r="BI12" t="s">
        <v>63</v>
      </c>
    </row>
    <row r="13" spans="1:61" x14ac:dyDescent="0.2">
      <c r="A13" s="5" t="s">
        <v>120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48</v>
      </c>
      <c r="N13">
        <v>1</v>
      </c>
      <c r="O13">
        <v>1.455555555555555</v>
      </c>
      <c r="P13" t="s">
        <v>61</v>
      </c>
      <c r="Q13" t="s">
        <v>50</v>
      </c>
      <c r="R13">
        <v>1</v>
      </c>
      <c r="S13">
        <v>1</v>
      </c>
      <c r="T13" t="s">
        <v>368</v>
      </c>
      <c r="U13" t="s">
        <v>52</v>
      </c>
      <c r="V13" t="s">
        <v>73</v>
      </c>
      <c r="W13">
        <v>50</v>
      </c>
      <c r="X13">
        <v>25</v>
      </c>
      <c r="Y13">
        <v>0.5</v>
      </c>
      <c r="Z13" s="6">
        <v>6</v>
      </c>
      <c r="AA13" s="6">
        <v>0</v>
      </c>
      <c r="AB13" s="6">
        <v>3</v>
      </c>
      <c r="AC13" s="6">
        <v>4</v>
      </c>
      <c r="AD13" s="6">
        <v>0</v>
      </c>
      <c r="AE13" s="6">
        <v>0</v>
      </c>
      <c r="AF13" s="6">
        <v>0</v>
      </c>
      <c r="AG13" s="6">
        <v>12</v>
      </c>
      <c r="AH13" s="6">
        <v>0</v>
      </c>
      <c r="AI13" s="6"/>
      <c r="AJ13" s="6">
        <v>0</v>
      </c>
      <c r="AK13" s="6">
        <v>0</v>
      </c>
      <c r="AL13">
        <v>0.12</v>
      </c>
      <c r="AM13" t="s">
        <v>385</v>
      </c>
      <c r="AN13" t="s">
        <v>373</v>
      </c>
      <c r="AO13" s="3">
        <v>0</v>
      </c>
      <c r="AQ13">
        <v>25</v>
      </c>
      <c r="AR13" s="8" t="e">
        <f>(Table2[[#This Row],[Tx_Arm_Patinet_Withdrawal_Consent]]+Table2[[#This Row],[Tx_am_lost_fu]]+Table2[[#This Row],[Tx_arm_noncomp]])/Table2[[#This Row],[Tx_arm_randomized_to_tx]]</f>
        <v>#VALUE!</v>
      </c>
      <c r="AS13" t="s">
        <v>373</v>
      </c>
      <c r="AV13">
        <v>25</v>
      </c>
      <c r="AW13" s="8" t="e">
        <f>(Table2[[#This Row],[Cr_arm_patient_withdrawal_consent]]+Table2[[#This Row],[Cr_arm_lost_fu]]+Table2[[#This Row],[Cr_am_noncomp]])/Table2[[#This Row],[Cr_am_total_randomized+patients]]</f>
        <v>#VALUE!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57</v>
      </c>
      <c r="BI13" t="s">
        <v>57</v>
      </c>
    </row>
    <row r="14" spans="1:61" x14ac:dyDescent="0.2">
      <c r="A14" s="5" t="s">
        <v>313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48</v>
      </c>
      <c r="N14">
        <v>1</v>
      </c>
      <c r="O14">
        <v>2.5000000000000001E-2</v>
      </c>
      <c r="P14" t="s">
        <v>50</v>
      </c>
      <c r="Q14" t="s">
        <v>56</v>
      </c>
      <c r="R14">
        <v>1</v>
      </c>
      <c r="S14">
        <v>1</v>
      </c>
      <c r="T14" t="s">
        <v>51</v>
      </c>
      <c r="U14" t="s">
        <v>52</v>
      </c>
      <c r="V14" t="s">
        <v>53</v>
      </c>
      <c r="W14">
        <v>521</v>
      </c>
      <c r="X14">
        <v>173</v>
      </c>
      <c r="Y14">
        <v>0.33205374280230326</v>
      </c>
      <c r="Z14">
        <v>57</v>
      </c>
      <c r="AA14">
        <v>43</v>
      </c>
      <c r="AB14">
        <v>11</v>
      </c>
      <c r="AC14">
        <v>0</v>
      </c>
      <c r="AD14">
        <v>0</v>
      </c>
      <c r="AE14">
        <v>6</v>
      </c>
      <c r="AF14">
        <v>0</v>
      </c>
      <c r="AG14">
        <v>3</v>
      </c>
      <c r="AH14">
        <v>0</v>
      </c>
      <c r="AI14">
        <v>5</v>
      </c>
      <c r="AJ14">
        <v>22</v>
      </c>
      <c r="AK14">
        <v>0</v>
      </c>
      <c r="AL14">
        <v>0.10940499040307101</v>
      </c>
      <c r="AM14" t="s">
        <v>384</v>
      </c>
      <c r="AN14">
        <v>21</v>
      </c>
      <c r="AQ14">
        <v>263</v>
      </c>
      <c r="AR14" s="8">
        <f>(Table2[[#This Row],[Tx_Arm_Patinet_Withdrawal_Consent]]+Table2[[#This Row],[Tx_am_lost_fu]]+Table2[[#This Row],[Tx_arm_noncomp]])/Table2[[#This Row],[Tx_arm_randomized_to_tx]]</f>
        <v>7.9847908745247151E-2</v>
      </c>
      <c r="AS14">
        <v>22</v>
      </c>
      <c r="AV14">
        <v>258</v>
      </c>
      <c r="AW14" s="8">
        <f>(Table2[[#This Row],[Cr_arm_patient_withdrawal_consent]]+Table2[[#This Row],[Cr_arm_lost_fu]]+Table2[[#This Row],[Cr_am_noncomp]])/Table2[[#This Row],[Cr_am_total_randomized+patients]]</f>
        <v>8.5271317829457363E-2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 t="s">
        <v>54</v>
      </c>
      <c r="BI14" t="s">
        <v>63</v>
      </c>
    </row>
    <row r="15" spans="1:61" x14ac:dyDescent="0.2">
      <c r="A15" t="s">
        <v>333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48</v>
      </c>
      <c r="N15">
        <v>1</v>
      </c>
      <c r="O15">
        <v>6.8583333333333334</v>
      </c>
      <c r="P15" t="s">
        <v>50</v>
      </c>
      <c r="Q15" t="s">
        <v>50</v>
      </c>
      <c r="R15">
        <v>2</v>
      </c>
      <c r="S15">
        <v>0</v>
      </c>
      <c r="T15" t="s">
        <v>51</v>
      </c>
      <c r="U15" t="s">
        <v>52</v>
      </c>
      <c r="V15" t="s">
        <v>53</v>
      </c>
      <c r="W15">
        <v>1030</v>
      </c>
      <c r="X15">
        <v>905</v>
      </c>
      <c r="Y15">
        <v>0.87864077669902918</v>
      </c>
      <c r="Z15">
        <v>83</v>
      </c>
      <c r="AA15">
        <v>113</v>
      </c>
      <c r="AB15">
        <v>587</v>
      </c>
      <c r="AC15">
        <v>0</v>
      </c>
      <c r="AD15">
        <v>0</v>
      </c>
      <c r="AE15">
        <v>4</v>
      </c>
      <c r="AF15">
        <v>2</v>
      </c>
      <c r="AG15">
        <v>25</v>
      </c>
      <c r="AH15">
        <v>4</v>
      </c>
      <c r="AJ15">
        <v>87</v>
      </c>
      <c r="AK15">
        <v>0</v>
      </c>
      <c r="AL15">
        <v>8.6407766990291263E-2</v>
      </c>
      <c r="AN15">
        <v>42</v>
      </c>
      <c r="AO15" s="3">
        <v>0</v>
      </c>
      <c r="AQ15">
        <v>514</v>
      </c>
      <c r="AR15">
        <f>(Table2[[#This Row],[Tx_Arm_Patinet_Withdrawal_Consent]]+Table2[[#This Row],[Tx_am_lost_fu]]+Table2[[#This Row],[Tx_arm_noncomp]])/Table2[[#This Row],[Tx_arm_randomized_to_tx]]</f>
        <v>8.171206225680934E-2</v>
      </c>
      <c r="AS15">
        <v>42</v>
      </c>
      <c r="AV15">
        <v>516</v>
      </c>
      <c r="AW15">
        <f>(Table2[[#This Row],[Cr_arm_patient_withdrawal_consent]]+Table2[[#This Row],[Cr_arm_lost_fu]]+Table2[[#This Row],[Cr_am_noncomp]])/Table2[[#This Row],[Cr_am_total_randomized+patients]]</f>
        <v>8.1395348837209308E-2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54</v>
      </c>
      <c r="BI15" t="s">
        <v>54</v>
      </c>
    </row>
    <row r="16" spans="1:61" x14ac:dyDescent="0.2">
      <c r="A16" t="s">
        <v>290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48</v>
      </c>
      <c r="N16">
        <v>1</v>
      </c>
      <c r="O16">
        <v>11.75</v>
      </c>
      <c r="P16" t="s">
        <v>56</v>
      </c>
      <c r="Q16" t="s">
        <v>56</v>
      </c>
      <c r="R16">
        <v>2</v>
      </c>
      <c r="S16">
        <v>1</v>
      </c>
      <c r="T16" t="s">
        <v>51</v>
      </c>
      <c r="U16" t="s">
        <v>52</v>
      </c>
      <c r="V16" t="s">
        <v>53</v>
      </c>
      <c r="W16">
        <v>317</v>
      </c>
      <c r="X16">
        <v>45</v>
      </c>
      <c r="Y16">
        <v>0.14195583596214512</v>
      </c>
      <c r="Z16">
        <v>8</v>
      </c>
      <c r="AA16">
        <v>6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5</v>
      </c>
      <c r="AH16">
        <v>2</v>
      </c>
      <c r="AJ16">
        <v>22</v>
      </c>
      <c r="AK16">
        <v>0</v>
      </c>
      <c r="AL16">
        <v>3.7854889589905363E-2</v>
      </c>
      <c r="AN16">
        <v>4</v>
      </c>
      <c r="AO16" s="3">
        <v>0</v>
      </c>
      <c r="AQ16">
        <v>162</v>
      </c>
      <c r="AR16">
        <f>(Table2[[#This Row],[Tx_Arm_Patinet_Withdrawal_Consent]]+Table2[[#This Row],[Tx_am_lost_fu]]+Table2[[#This Row],[Tx_arm_noncomp]])/Table2[[#This Row],[Tx_arm_randomized_to_tx]]</f>
        <v>2.4691358024691357E-2</v>
      </c>
      <c r="AS16">
        <v>4</v>
      </c>
      <c r="AV16">
        <v>155</v>
      </c>
      <c r="AW16">
        <f>(Table2[[#This Row],[Cr_arm_patient_withdrawal_consent]]+Table2[[#This Row],[Cr_arm_lost_fu]]+Table2[[#This Row],[Cr_am_noncomp]])/Table2[[#This Row],[Cr_am_total_randomized+patients]]</f>
        <v>2.5806451612903226E-2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 t="s">
        <v>54</v>
      </c>
      <c r="BI16" t="s">
        <v>54</v>
      </c>
    </row>
    <row r="17" spans="1:61" x14ac:dyDescent="0.2">
      <c r="A17" s="5" t="s">
        <v>186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 t="s">
        <v>48</v>
      </c>
      <c r="N17">
        <v>1</v>
      </c>
      <c r="O17">
        <v>2.3194444444444451</v>
      </c>
      <c r="P17" t="s">
        <v>50</v>
      </c>
      <c r="Q17" t="s">
        <v>50</v>
      </c>
      <c r="R17">
        <v>1</v>
      </c>
      <c r="S17">
        <v>1</v>
      </c>
      <c r="T17" t="s">
        <v>51</v>
      </c>
      <c r="U17" t="s">
        <v>52</v>
      </c>
      <c r="V17" t="s">
        <v>53</v>
      </c>
      <c r="W17">
        <v>40</v>
      </c>
      <c r="X17">
        <v>34</v>
      </c>
      <c r="Y17">
        <v>0.85</v>
      </c>
      <c r="Z17">
        <v>3</v>
      </c>
      <c r="AA17">
        <v>9</v>
      </c>
      <c r="AB17">
        <v>22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J17">
        <v>0</v>
      </c>
      <c r="AK17">
        <v>0</v>
      </c>
      <c r="AL17">
        <v>7.4999999999999997E-2</v>
      </c>
      <c r="AM17" t="s">
        <v>384</v>
      </c>
      <c r="AN17">
        <v>0</v>
      </c>
      <c r="AO17" s="3">
        <v>0</v>
      </c>
      <c r="AQ17">
        <v>25</v>
      </c>
      <c r="AR17" s="8">
        <f>(Table2[[#This Row],[Tx_Arm_Patinet_Withdrawal_Consent]]+Table2[[#This Row],[Tx_am_lost_fu]]+Table2[[#This Row],[Tx_arm_noncomp]])/Table2[[#This Row],[Tx_arm_randomized_to_tx]]</f>
        <v>0</v>
      </c>
      <c r="AS17">
        <v>0</v>
      </c>
      <c r="AV17">
        <v>15</v>
      </c>
      <c r="AW17" s="8">
        <f>(Table2[[#This Row],[Cr_arm_patient_withdrawal_consent]]+Table2[[#This Row],[Cr_arm_lost_fu]]+Table2[[#This Row],[Cr_am_noncomp]])/Table2[[#This Row],[Cr_am_total_randomized+patients]]</f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1</v>
      </c>
      <c r="BH17" t="s">
        <v>54</v>
      </c>
      <c r="BI17" t="s">
        <v>54</v>
      </c>
    </row>
    <row r="18" spans="1:61" x14ac:dyDescent="0.2">
      <c r="A18" t="s">
        <v>211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 t="s">
        <v>69</v>
      </c>
      <c r="N18">
        <v>0</v>
      </c>
      <c r="O18">
        <v>0.40833333333333333</v>
      </c>
      <c r="P18" t="s">
        <v>61</v>
      </c>
      <c r="Q18" t="s">
        <v>50</v>
      </c>
      <c r="R18">
        <v>3</v>
      </c>
      <c r="S18">
        <v>0</v>
      </c>
      <c r="T18" t="s">
        <v>51</v>
      </c>
      <c r="U18" t="s">
        <v>90</v>
      </c>
      <c r="V18" t="s">
        <v>53</v>
      </c>
      <c r="W18">
        <v>60</v>
      </c>
      <c r="X18">
        <v>42</v>
      </c>
      <c r="Y18">
        <v>0.7</v>
      </c>
      <c r="Z18">
        <v>4</v>
      </c>
      <c r="AA18">
        <v>9</v>
      </c>
      <c r="AB18">
        <v>10</v>
      </c>
      <c r="AC18">
        <v>0</v>
      </c>
      <c r="AD18">
        <v>0</v>
      </c>
      <c r="AE18">
        <v>11</v>
      </c>
      <c r="AF18">
        <v>0</v>
      </c>
      <c r="AG18">
        <v>4</v>
      </c>
      <c r="AH18">
        <v>0</v>
      </c>
      <c r="AJ18">
        <v>4</v>
      </c>
      <c r="AK18">
        <v>0</v>
      </c>
      <c r="AL18">
        <v>6.6666666666666666E-2</v>
      </c>
      <c r="AN18">
        <v>4</v>
      </c>
      <c r="AO18" s="3">
        <v>0</v>
      </c>
      <c r="AQ18">
        <v>60</v>
      </c>
      <c r="AR18">
        <f>(Table2[[#This Row],[Tx_Arm_Patinet_Withdrawal_Consent]]+Table2[[#This Row],[Tx_am_lost_fu]]+Table2[[#This Row],[Tx_arm_noncomp]])/Table2[[#This Row],[Tx_arm_randomized_to_tx]]</f>
        <v>6.6666666666666666E-2</v>
      </c>
      <c r="AS18" t="s">
        <v>373</v>
      </c>
      <c r="AT18" t="s">
        <v>373</v>
      </c>
      <c r="AU18" t="s">
        <v>373</v>
      </c>
      <c r="AV18" t="s">
        <v>373</v>
      </c>
      <c r="AW18" t="e">
        <f>(Table2[[#This Row],[Cr_arm_patient_withdrawal_consent]]+Table2[[#This Row],[Cr_arm_lost_fu]]+Table2[[#This Row],[Cr_am_noncomp]])/Table2[[#This Row],[Cr_am_total_randomized+patients]]</f>
        <v>#VALUE!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54</v>
      </c>
      <c r="BI18" t="s">
        <v>63</v>
      </c>
    </row>
    <row r="19" spans="1:61" x14ac:dyDescent="0.2">
      <c r="A19" t="s">
        <v>287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48</v>
      </c>
      <c r="N19">
        <v>1</v>
      </c>
      <c r="O19">
        <v>9.1277777777777782</v>
      </c>
      <c r="P19" t="s">
        <v>50</v>
      </c>
      <c r="Q19" t="s">
        <v>50</v>
      </c>
      <c r="R19">
        <v>1</v>
      </c>
      <c r="S19">
        <v>0</v>
      </c>
      <c r="T19" t="s">
        <v>51</v>
      </c>
      <c r="U19" t="s">
        <v>52</v>
      </c>
      <c r="V19" t="s">
        <v>53</v>
      </c>
      <c r="W19">
        <v>487</v>
      </c>
      <c r="X19">
        <v>303</v>
      </c>
      <c r="Y19">
        <v>0.62217659137576997</v>
      </c>
      <c r="Z19">
        <v>19</v>
      </c>
      <c r="AA19">
        <v>92</v>
      </c>
      <c r="AB19">
        <v>189</v>
      </c>
      <c r="AC19">
        <v>0</v>
      </c>
      <c r="AD19">
        <v>3</v>
      </c>
      <c r="AE19">
        <v>0</v>
      </c>
      <c r="AF19">
        <v>0</v>
      </c>
      <c r="AG19">
        <v>0</v>
      </c>
      <c r="AH19">
        <v>0</v>
      </c>
      <c r="AJ19">
        <v>0</v>
      </c>
      <c r="AK19">
        <v>0</v>
      </c>
      <c r="AL19">
        <v>3.9014373716632446E-2</v>
      </c>
      <c r="AN19">
        <v>3</v>
      </c>
      <c r="AO19" s="3">
        <v>0</v>
      </c>
      <c r="AQ19">
        <v>245</v>
      </c>
      <c r="AR19">
        <f>(Table2[[#This Row],[Tx_Arm_Patinet_Withdrawal_Consent]]+Table2[[#This Row],[Tx_am_lost_fu]]+Table2[[#This Row],[Tx_arm_noncomp]])/Table2[[#This Row],[Tx_arm_randomized_to_tx]]</f>
        <v>1.2244897959183673E-2</v>
      </c>
      <c r="AS19">
        <v>2</v>
      </c>
      <c r="AV19">
        <v>242</v>
      </c>
      <c r="AW19">
        <f>(Table2[[#This Row],[Cr_arm_patient_withdrawal_consent]]+Table2[[#This Row],[Cr_arm_lost_fu]]+Table2[[#This Row],[Cr_am_noncomp]])/Table2[[#This Row],[Cr_am_total_randomized+patients]]</f>
        <v>8.2644628099173556E-3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63</v>
      </c>
      <c r="BI19" t="s">
        <v>63</v>
      </c>
    </row>
    <row r="20" spans="1:61" x14ac:dyDescent="0.2">
      <c r="A20" t="s">
        <v>284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48</v>
      </c>
      <c r="N20">
        <v>1</v>
      </c>
      <c r="O20">
        <v>5.8277777777777784</v>
      </c>
      <c r="P20" t="s">
        <v>50</v>
      </c>
      <c r="Q20" t="s">
        <v>50</v>
      </c>
      <c r="R20">
        <v>1</v>
      </c>
      <c r="S20">
        <v>1</v>
      </c>
      <c r="T20" t="s">
        <v>51</v>
      </c>
      <c r="U20" t="s">
        <v>52</v>
      </c>
      <c r="V20" t="s">
        <v>53</v>
      </c>
      <c r="W20">
        <v>125</v>
      </c>
      <c r="X20">
        <v>107</v>
      </c>
      <c r="Y20">
        <v>0.85599999999999998</v>
      </c>
      <c r="Z20">
        <v>5</v>
      </c>
      <c r="AA20">
        <v>8</v>
      </c>
      <c r="AB20">
        <v>94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>
        <v>0</v>
      </c>
      <c r="AK20">
        <v>0</v>
      </c>
      <c r="AL20">
        <v>0.04</v>
      </c>
      <c r="AN20">
        <v>0</v>
      </c>
      <c r="AO20" s="3">
        <v>0</v>
      </c>
      <c r="AQ20">
        <v>65</v>
      </c>
      <c r="AR20">
        <f>(Table2[[#This Row],[Tx_Arm_Patinet_Withdrawal_Consent]]+Table2[[#This Row],[Tx_am_lost_fu]]+Table2[[#This Row],[Tx_arm_noncomp]])/Table2[[#This Row],[Tx_arm_randomized_to_tx]]</f>
        <v>0</v>
      </c>
      <c r="AS20">
        <v>0</v>
      </c>
      <c r="AV20">
        <v>60</v>
      </c>
      <c r="AW20">
        <f>(Table2[[#This Row],[Cr_arm_patient_withdrawal_consent]]+Table2[[#This Row],[Cr_arm_lost_fu]]+Table2[[#This Row],[Cr_am_noncomp]])/Table2[[#This Row],[Cr_am_total_randomized+patients]]</f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 t="s">
        <v>54</v>
      </c>
      <c r="BI20" t="s">
        <v>54</v>
      </c>
    </row>
    <row r="21" spans="1:61" x14ac:dyDescent="0.2">
      <c r="A21" t="s">
        <v>303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 t="s">
        <v>48</v>
      </c>
      <c r="N21">
        <v>1</v>
      </c>
      <c r="O21">
        <v>10.37222222222222</v>
      </c>
      <c r="P21" t="s">
        <v>50</v>
      </c>
      <c r="Q21" t="s">
        <v>50</v>
      </c>
      <c r="R21">
        <v>2</v>
      </c>
      <c r="S21">
        <v>0</v>
      </c>
      <c r="T21" t="s">
        <v>51</v>
      </c>
      <c r="U21" t="s">
        <v>52</v>
      </c>
      <c r="V21" t="s">
        <v>53</v>
      </c>
      <c r="W21">
        <v>454</v>
      </c>
      <c r="X21">
        <v>66</v>
      </c>
      <c r="Y21">
        <v>0.14537444933920704</v>
      </c>
      <c r="Z21">
        <v>11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47</v>
      </c>
      <c r="AH21">
        <v>5</v>
      </c>
      <c r="AJ21">
        <v>3</v>
      </c>
      <c r="AK21">
        <v>0</v>
      </c>
      <c r="AL21">
        <v>3.5242290748898682E-2</v>
      </c>
      <c r="AN21">
        <v>7</v>
      </c>
      <c r="AO21" s="3">
        <v>0</v>
      </c>
      <c r="AQ21">
        <v>228</v>
      </c>
      <c r="AR21">
        <f>(Table2[[#This Row],[Tx_Arm_Patinet_Withdrawal_Consent]]+Table2[[#This Row],[Tx_am_lost_fu]]+Table2[[#This Row],[Tx_arm_noncomp]])/Table2[[#This Row],[Tx_arm_randomized_to_tx]]</f>
        <v>3.0701754385964911E-2</v>
      </c>
      <c r="AS21">
        <v>4</v>
      </c>
      <c r="AV21">
        <v>226</v>
      </c>
      <c r="AW21">
        <f>(Table2[[#This Row],[Cr_arm_patient_withdrawal_consent]]+Table2[[#This Row],[Cr_arm_lost_fu]]+Table2[[#This Row],[Cr_am_noncomp]])/Table2[[#This Row],[Cr_am_total_randomized+patients]]</f>
        <v>1.7699115044247787E-2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54</v>
      </c>
      <c r="BI21" t="s">
        <v>54</v>
      </c>
    </row>
    <row r="22" spans="1:61" x14ac:dyDescent="0.2">
      <c r="A22" t="s">
        <v>321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48</v>
      </c>
      <c r="N22">
        <v>1</v>
      </c>
      <c r="O22">
        <v>4.1666666666666657E-2</v>
      </c>
      <c r="P22" t="s">
        <v>56</v>
      </c>
      <c r="Q22" t="s">
        <v>56</v>
      </c>
      <c r="R22">
        <v>2</v>
      </c>
      <c r="S22">
        <v>0</v>
      </c>
      <c r="T22" t="s">
        <v>51</v>
      </c>
      <c r="U22" t="s">
        <v>52</v>
      </c>
      <c r="V22" t="s">
        <v>53</v>
      </c>
      <c r="W22">
        <v>262</v>
      </c>
      <c r="X22">
        <v>262</v>
      </c>
      <c r="Y22">
        <v>1</v>
      </c>
      <c r="Z22">
        <v>6</v>
      </c>
      <c r="AA22">
        <v>26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194</v>
      </c>
      <c r="AH22">
        <v>2</v>
      </c>
      <c r="AJ22">
        <v>0</v>
      </c>
      <c r="AK22">
        <v>34</v>
      </c>
      <c r="AL22">
        <v>3.0534351145038167E-2</v>
      </c>
      <c r="AN22">
        <v>1</v>
      </c>
      <c r="AO22" s="3">
        <v>0</v>
      </c>
      <c r="AP22">
        <v>23</v>
      </c>
      <c r="AQ22">
        <v>128</v>
      </c>
      <c r="AR22">
        <f>(Table2[[#This Row],[Tx_Arm_Patinet_Withdrawal_Consent]]+Table2[[#This Row],[Tx_am_lost_fu]]+Table2[[#This Row],[Tx_arm_noncomp]])/Table2[[#This Row],[Tx_arm_randomized_to_tx]]</f>
        <v>0.1875</v>
      </c>
      <c r="AS22">
        <v>5</v>
      </c>
      <c r="AT22">
        <v>0</v>
      </c>
      <c r="AU22">
        <v>11</v>
      </c>
      <c r="AV22">
        <v>134</v>
      </c>
      <c r="AW22">
        <f>(Table2[[#This Row],[Cr_arm_patient_withdrawal_consent]]+Table2[[#This Row],[Cr_arm_lost_fu]]+Table2[[#This Row],[Cr_am_noncomp]])/Table2[[#This Row],[Cr_am_total_randomized+patients]]</f>
        <v>0.11940298507462686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57</v>
      </c>
      <c r="BI22" t="s">
        <v>63</v>
      </c>
    </row>
    <row r="23" spans="1:61" x14ac:dyDescent="0.2">
      <c r="A23" t="s">
        <v>236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48</v>
      </c>
      <c r="N23">
        <v>1</v>
      </c>
      <c r="O23">
        <v>2.994444444444444</v>
      </c>
      <c r="P23" t="s">
        <v>50</v>
      </c>
      <c r="Q23" t="s">
        <v>50</v>
      </c>
      <c r="R23">
        <v>2</v>
      </c>
      <c r="S23">
        <v>0</v>
      </c>
      <c r="T23" t="s">
        <v>51</v>
      </c>
      <c r="U23" t="s">
        <v>52</v>
      </c>
      <c r="V23" t="s">
        <v>53</v>
      </c>
      <c r="W23">
        <v>793</v>
      </c>
      <c r="X23">
        <v>687</v>
      </c>
      <c r="Y23">
        <v>0.86633039092055486</v>
      </c>
      <c r="Z23">
        <v>42</v>
      </c>
      <c r="AA23">
        <v>51</v>
      </c>
      <c r="AB23">
        <v>584</v>
      </c>
      <c r="AC23">
        <v>0</v>
      </c>
      <c r="AD23">
        <v>5</v>
      </c>
      <c r="AE23">
        <v>0</v>
      </c>
      <c r="AF23">
        <v>5</v>
      </c>
      <c r="AG23">
        <v>0</v>
      </c>
      <c r="AH23">
        <v>0</v>
      </c>
      <c r="AJ23">
        <v>0</v>
      </c>
      <c r="AK23">
        <v>0</v>
      </c>
      <c r="AL23">
        <v>5.9268600252206809E-2</v>
      </c>
      <c r="AN23">
        <v>4</v>
      </c>
      <c r="AO23" s="3">
        <v>0</v>
      </c>
      <c r="AQ23">
        <v>529</v>
      </c>
      <c r="AR23">
        <f>(Table2[[#This Row],[Tx_Arm_Patinet_Withdrawal_Consent]]+Table2[[#This Row],[Tx_am_lost_fu]]+Table2[[#This Row],[Tx_arm_noncomp]])/Table2[[#This Row],[Tx_arm_randomized_to_tx]]</f>
        <v>7.5614366729678641E-3</v>
      </c>
      <c r="AS23">
        <v>7</v>
      </c>
      <c r="AV23">
        <v>264</v>
      </c>
      <c r="AW23">
        <f>(Table2[[#This Row],[Cr_arm_patient_withdrawal_consent]]+Table2[[#This Row],[Cr_arm_lost_fu]]+Table2[[#This Row],[Cr_am_noncomp]])/Table2[[#This Row],[Cr_am_total_randomized+patients]]</f>
        <v>2.6515151515151516E-2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54</v>
      </c>
      <c r="BI23" t="s">
        <v>54</v>
      </c>
    </row>
    <row r="24" spans="1:61" x14ac:dyDescent="0.2">
      <c r="A24" s="5" t="s">
        <v>350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48</v>
      </c>
      <c r="N24">
        <v>1</v>
      </c>
      <c r="O24">
        <v>0.31388888888888888</v>
      </c>
      <c r="P24" t="s">
        <v>50</v>
      </c>
      <c r="Q24" t="s">
        <v>50</v>
      </c>
      <c r="R24">
        <v>1</v>
      </c>
      <c r="S24">
        <v>1</v>
      </c>
      <c r="T24" t="s">
        <v>51</v>
      </c>
      <c r="U24" t="s">
        <v>52</v>
      </c>
      <c r="V24" t="s">
        <v>53</v>
      </c>
      <c r="W24">
        <v>1030</v>
      </c>
      <c r="X24">
        <v>1030</v>
      </c>
      <c r="Y24">
        <v>1</v>
      </c>
      <c r="Z24">
        <v>18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</v>
      </c>
      <c r="AG24">
        <v>662</v>
      </c>
      <c r="AH24">
        <v>1</v>
      </c>
      <c r="AJ24">
        <v>2</v>
      </c>
      <c r="AK24">
        <v>343</v>
      </c>
      <c r="AL24">
        <v>2.2330097087378639E-2</v>
      </c>
      <c r="AM24" t="s">
        <v>385</v>
      </c>
      <c r="AN24">
        <v>10</v>
      </c>
      <c r="AQ24">
        <v>515</v>
      </c>
      <c r="AR24" s="8">
        <f>(Table2[[#This Row],[Tx_Arm_Patinet_Withdrawal_Consent]]+Table2[[#This Row],[Tx_am_lost_fu]]+Table2[[#This Row],[Tx_arm_noncomp]])/Table2[[#This Row],[Tx_arm_randomized_to_tx]]</f>
        <v>1.9417475728155338E-2</v>
      </c>
      <c r="AS24">
        <v>8</v>
      </c>
      <c r="AV24">
        <v>515</v>
      </c>
      <c r="AW24" s="8">
        <f>(Table2[[#This Row],[Cr_arm_patient_withdrawal_consent]]+Table2[[#This Row],[Cr_arm_lost_fu]]+Table2[[#This Row],[Cr_am_noncomp]])/Table2[[#This Row],[Cr_am_total_randomized+patients]]</f>
        <v>1.5533980582524271E-2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54</v>
      </c>
      <c r="BI24" t="s">
        <v>54</v>
      </c>
    </row>
    <row r="25" spans="1:61" x14ac:dyDescent="0.2">
      <c r="A25" t="s">
        <v>216</v>
      </c>
      <c r="B25">
        <v>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48</v>
      </c>
      <c r="N25">
        <v>1</v>
      </c>
      <c r="O25" t="s">
        <v>49</v>
      </c>
      <c r="P25" t="s">
        <v>50</v>
      </c>
      <c r="Q25" t="s">
        <v>50</v>
      </c>
      <c r="R25">
        <v>2</v>
      </c>
      <c r="S25">
        <v>1</v>
      </c>
      <c r="T25" t="s">
        <v>51</v>
      </c>
      <c r="U25" t="s">
        <v>52</v>
      </c>
      <c r="V25" t="s">
        <v>53</v>
      </c>
      <c r="W25">
        <v>770</v>
      </c>
      <c r="X25">
        <v>253</v>
      </c>
      <c r="Y25">
        <v>0.32857142857142857</v>
      </c>
      <c r="Z25">
        <v>35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201</v>
      </c>
      <c r="AH25">
        <v>14</v>
      </c>
      <c r="AJ25">
        <v>3</v>
      </c>
      <c r="AK25">
        <v>0</v>
      </c>
      <c r="AL25">
        <v>6.363636363636363E-2</v>
      </c>
      <c r="AN25">
        <v>19</v>
      </c>
      <c r="AO25" s="3">
        <v>0</v>
      </c>
      <c r="AQ25">
        <v>385</v>
      </c>
      <c r="AR25">
        <f>(Table2[[#This Row],[Tx_Arm_Patinet_Withdrawal_Consent]]+Table2[[#This Row],[Tx_am_lost_fu]]+Table2[[#This Row],[Tx_arm_noncomp]])/Table2[[#This Row],[Tx_arm_randomized_to_tx]]</f>
        <v>4.9350649350649353E-2</v>
      </c>
      <c r="AS25">
        <v>16</v>
      </c>
      <c r="AV25">
        <v>385</v>
      </c>
      <c r="AW25">
        <f>(Table2[[#This Row],[Cr_arm_patient_withdrawal_consent]]+Table2[[#This Row],[Cr_arm_lost_fu]]+Table2[[#This Row],[Cr_am_noncomp]])/Table2[[#This Row],[Cr_am_total_randomized+patients]]</f>
        <v>4.1558441558441558E-2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54</v>
      </c>
      <c r="BI25" t="s">
        <v>54</v>
      </c>
    </row>
    <row r="26" spans="1:61" x14ac:dyDescent="0.2">
      <c r="A26" t="s">
        <v>114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48</v>
      </c>
      <c r="N26">
        <v>1</v>
      </c>
      <c r="O26">
        <v>4.9722222222222223</v>
      </c>
      <c r="P26" t="s">
        <v>50</v>
      </c>
      <c r="Q26" t="s">
        <v>50</v>
      </c>
      <c r="R26">
        <v>2</v>
      </c>
      <c r="S26">
        <v>0</v>
      </c>
      <c r="T26" t="s">
        <v>51</v>
      </c>
      <c r="U26" t="s">
        <v>52</v>
      </c>
      <c r="V26" t="s">
        <v>73</v>
      </c>
      <c r="W26">
        <v>514</v>
      </c>
      <c r="X26">
        <v>354</v>
      </c>
      <c r="Y26">
        <v>0.68871595330739299</v>
      </c>
      <c r="Z26">
        <v>57</v>
      </c>
      <c r="AA26">
        <v>35</v>
      </c>
      <c r="AB26">
        <v>222</v>
      </c>
      <c r="AC26">
        <v>0</v>
      </c>
      <c r="AD26">
        <v>0</v>
      </c>
      <c r="AE26">
        <v>16</v>
      </c>
      <c r="AF26">
        <v>5</v>
      </c>
      <c r="AG26">
        <v>17</v>
      </c>
      <c r="AH26">
        <v>1</v>
      </c>
      <c r="AJ26">
        <v>1</v>
      </c>
      <c r="AK26">
        <v>0</v>
      </c>
      <c r="AL26">
        <v>0.122568093385214</v>
      </c>
      <c r="AN26">
        <v>35</v>
      </c>
      <c r="AO26" s="3">
        <v>0</v>
      </c>
      <c r="AQ26">
        <v>257</v>
      </c>
      <c r="AR26">
        <f>(Table2[[#This Row],[Tx_Arm_Patinet_Withdrawal_Consent]]+Table2[[#This Row],[Tx_am_lost_fu]]+Table2[[#This Row],[Tx_arm_noncomp]])/Table2[[#This Row],[Tx_arm_randomized_to_tx]]</f>
        <v>0.13618677042801555</v>
      </c>
      <c r="AS26">
        <v>22</v>
      </c>
      <c r="AV26">
        <v>257</v>
      </c>
      <c r="AW26">
        <f>(Table2[[#This Row],[Cr_arm_patient_withdrawal_consent]]+Table2[[#This Row],[Cr_arm_lost_fu]]+Table2[[#This Row],[Cr_am_noncomp]])/Table2[[#This Row],[Cr_am_total_randomized+patients]]</f>
        <v>8.5603112840466927E-2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54</v>
      </c>
      <c r="BI26" t="s">
        <v>54</v>
      </c>
    </row>
    <row r="27" spans="1:61" x14ac:dyDescent="0.2">
      <c r="A27" t="s">
        <v>349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 t="s">
        <v>48</v>
      </c>
      <c r="N27">
        <v>1</v>
      </c>
      <c r="O27">
        <v>5.802777777777778</v>
      </c>
      <c r="P27" t="s">
        <v>50</v>
      </c>
      <c r="Q27" t="s">
        <v>50</v>
      </c>
      <c r="R27">
        <v>2</v>
      </c>
      <c r="S27">
        <v>0</v>
      </c>
      <c r="T27" t="s">
        <v>51</v>
      </c>
      <c r="U27" t="s">
        <v>52</v>
      </c>
      <c r="V27" t="s">
        <v>53</v>
      </c>
      <c r="W27">
        <v>623</v>
      </c>
      <c r="X27">
        <v>294</v>
      </c>
      <c r="Y27">
        <v>0.47191011235955055</v>
      </c>
      <c r="Z27">
        <v>14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280</v>
      </c>
      <c r="AH27">
        <v>0</v>
      </c>
      <c r="AJ27">
        <v>0</v>
      </c>
      <c r="AK27">
        <v>0</v>
      </c>
      <c r="AL27">
        <v>2.247191011235955E-2</v>
      </c>
      <c r="AN27">
        <v>10</v>
      </c>
      <c r="AO27" s="3">
        <v>0</v>
      </c>
      <c r="AQ27">
        <v>309</v>
      </c>
      <c r="AR27">
        <f>(Table2[[#This Row],[Tx_Arm_Patinet_Withdrawal_Consent]]+Table2[[#This Row],[Tx_am_lost_fu]]+Table2[[#This Row],[Tx_arm_noncomp]])/Table2[[#This Row],[Tx_arm_randomized_to_tx]]</f>
        <v>3.2362459546925564E-2</v>
      </c>
      <c r="AS27">
        <v>4</v>
      </c>
      <c r="AV27">
        <v>314</v>
      </c>
      <c r="AW27">
        <f>(Table2[[#This Row],[Cr_arm_patient_withdrawal_consent]]+Table2[[#This Row],[Cr_arm_lost_fu]]+Table2[[#This Row],[Cr_am_noncomp]])/Table2[[#This Row],[Cr_am_total_randomized+patients]]</f>
        <v>1.2738853503184714E-2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63</v>
      </c>
      <c r="BI27" t="s">
        <v>63</v>
      </c>
    </row>
    <row r="28" spans="1:61" x14ac:dyDescent="0.2">
      <c r="A28" t="s">
        <v>295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 t="s">
        <v>69</v>
      </c>
      <c r="N28">
        <v>0</v>
      </c>
      <c r="O28">
        <v>4.25</v>
      </c>
      <c r="P28" t="s">
        <v>61</v>
      </c>
      <c r="Q28" t="s">
        <v>56</v>
      </c>
      <c r="R28">
        <v>3</v>
      </c>
      <c r="S28">
        <v>0</v>
      </c>
      <c r="T28" t="s">
        <v>51</v>
      </c>
      <c r="U28" t="s">
        <v>52</v>
      </c>
      <c r="V28" t="s">
        <v>53</v>
      </c>
      <c r="W28">
        <v>55</v>
      </c>
      <c r="X28">
        <v>42</v>
      </c>
      <c r="Y28">
        <v>0.76363636363636367</v>
      </c>
      <c r="Z28">
        <v>2</v>
      </c>
      <c r="AA28">
        <v>18</v>
      </c>
      <c r="AB28">
        <v>21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J28">
        <v>0</v>
      </c>
      <c r="AK28">
        <v>0</v>
      </c>
      <c r="AL28">
        <v>3.6363636363636362E-2</v>
      </c>
      <c r="AN28">
        <v>0</v>
      </c>
      <c r="AO28" s="3">
        <v>0</v>
      </c>
      <c r="AQ28">
        <v>55</v>
      </c>
      <c r="AR28">
        <f>(Table2[[#This Row],[Tx_Arm_Patinet_Withdrawal_Consent]]+Table2[[#This Row],[Tx_am_lost_fu]]+Table2[[#This Row],[Tx_arm_noncomp]])/Table2[[#This Row],[Tx_arm_randomized_to_tx]]</f>
        <v>0</v>
      </c>
      <c r="AS28" t="s">
        <v>373</v>
      </c>
      <c r="AT28" t="s">
        <v>373</v>
      </c>
      <c r="AU28" t="s">
        <v>373</v>
      </c>
      <c r="AV28" t="s">
        <v>49</v>
      </c>
      <c r="AW28" t="e">
        <f>(Table2[[#This Row],[Cr_arm_patient_withdrawal_consent]]+Table2[[#This Row],[Cr_arm_lost_fu]]+Table2[[#This Row],[Cr_am_noncomp]])/Table2[[#This Row],[Cr_am_total_randomized+patients]]</f>
        <v>#VALUE!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54</v>
      </c>
      <c r="BI28" t="s">
        <v>54</v>
      </c>
    </row>
    <row r="29" spans="1:61" x14ac:dyDescent="0.2">
      <c r="A29" t="s">
        <v>302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48</v>
      </c>
      <c r="N29">
        <v>1</v>
      </c>
      <c r="O29">
        <v>3.213888888888889</v>
      </c>
      <c r="P29" t="s">
        <v>50</v>
      </c>
      <c r="Q29" t="s">
        <v>50</v>
      </c>
      <c r="R29">
        <v>2</v>
      </c>
      <c r="S29">
        <v>0</v>
      </c>
      <c r="T29" t="s">
        <v>51</v>
      </c>
      <c r="U29" t="s">
        <v>52</v>
      </c>
      <c r="V29" t="s">
        <v>53</v>
      </c>
      <c r="W29">
        <v>454</v>
      </c>
      <c r="X29">
        <v>43</v>
      </c>
      <c r="Y29">
        <v>9.4713656387665199E-2</v>
      </c>
      <c r="Z29">
        <v>11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2</v>
      </c>
      <c r="AG29">
        <v>24</v>
      </c>
      <c r="AH29">
        <v>3</v>
      </c>
      <c r="AJ29">
        <v>2</v>
      </c>
      <c r="AK29">
        <v>0</v>
      </c>
      <c r="AL29">
        <v>3.5242290748898682E-2</v>
      </c>
      <c r="AN29">
        <v>5</v>
      </c>
      <c r="AO29" s="3">
        <v>0</v>
      </c>
      <c r="AQ29">
        <v>226</v>
      </c>
      <c r="AR29">
        <f>(Table2[[#This Row],[Tx_Arm_Patinet_Withdrawal_Consent]]+Table2[[#This Row],[Tx_am_lost_fu]]+Table2[[#This Row],[Tx_arm_noncomp]])/Table2[[#This Row],[Tx_arm_randomized_to_tx]]</f>
        <v>2.2123893805309734E-2</v>
      </c>
      <c r="AS29">
        <v>5</v>
      </c>
      <c r="AV29">
        <v>228</v>
      </c>
      <c r="AW29">
        <f>(Table2[[#This Row],[Cr_arm_patient_withdrawal_consent]]+Table2[[#This Row],[Cr_arm_lost_fu]]+Table2[[#This Row],[Cr_am_noncomp]])/Table2[[#This Row],[Cr_am_total_randomized+patients]]</f>
        <v>2.1929824561403508E-2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 t="s">
        <v>54</v>
      </c>
      <c r="BI29" t="s">
        <v>54</v>
      </c>
    </row>
    <row r="30" spans="1:61" x14ac:dyDescent="0.2">
      <c r="A30" s="5" t="s">
        <v>320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48</v>
      </c>
      <c r="N30">
        <v>1</v>
      </c>
      <c r="O30">
        <v>7.583333333333333</v>
      </c>
      <c r="P30" t="s">
        <v>56</v>
      </c>
      <c r="Q30" t="s">
        <v>50</v>
      </c>
      <c r="R30">
        <v>1</v>
      </c>
      <c r="S30">
        <v>1</v>
      </c>
      <c r="T30" t="s">
        <v>51</v>
      </c>
      <c r="U30" t="s">
        <v>52</v>
      </c>
      <c r="V30" t="s">
        <v>53</v>
      </c>
      <c r="W30">
        <v>783</v>
      </c>
      <c r="X30">
        <v>512</v>
      </c>
      <c r="Y30">
        <v>0.6538952745849298</v>
      </c>
      <c r="Z30">
        <v>23</v>
      </c>
      <c r="AA30">
        <v>55</v>
      </c>
      <c r="AB30">
        <v>353</v>
      </c>
      <c r="AC30">
        <v>0</v>
      </c>
      <c r="AD30">
        <v>0</v>
      </c>
      <c r="AE30">
        <v>3</v>
      </c>
      <c r="AF30">
        <v>1</v>
      </c>
      <c r="AG30">
        <v>7</v>
      </c>
      <c r="AH30">
        <v>0</v>
      </c>
      <c r="AI30">
        <v>5</v>
      </c>
      <c r="AJ30">
        <v>65</v>
      </c>
      <c r="AK30">
        <v>0</v>
      </c>
      <c r="AL30">
        <v>3.0651340996168581E-2</v>
      </c>
      <c r="AM30" t="s">
        <v>384</v>
      </c>
      <c r="AN30">
        <v>7</v>
      </c>
      <c r="AQ30">
        <v>391</v>
      </c>
      <c r="AR30" s="8">
        <f>(Table2[[#This Row],[Tx_Arm_Patinet_Withdrawal_Consent]]+Table2[[#This Row],[Tx_am_lost_fu]]+Table2[[#This Row],[Tx_arm_noncomp]])/Table2[[#This Row],[Tx_arm_randomized_to_tx]]</f>
        <v>1.7902813299232736E-2</v>
      </c>
      <c r="AS30">
        <v>16</v>
      </c>
      <c r="AV30">
        <v>392</v>
      </c>
      <c r="AW30" s="8">
        <f>(Table2[[#This Row],[Cr_arm_patient_withdrawal_consent]]+Table2[[#This Row],[Cr_arm_lost_fu]]+Table2[[#This Row],[Cr_am_noncomp]])/Table2[[#This Row],[Cr_am_total_randomized+patients]]</f>
        <v>4.0816326530612242E-2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54</v>
      </c>
      <c r="BI30" t="s">
        <v>54</v>
      </c>
    </row>
    <row r="31" spans="1:61" x14ac:dyDescent="0.2">
      <c r="A31" t="s">
        <v>308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48</v>
      </c>
      <c r="N31">
        <v>1</v>
      </c>
      <c r="O31">
        <v>0.6</v>
      </c>
      <c r="P31" t="s">
        <v>50</v>
      </c>
      <c r="Q31" t="s">
        <v>50</v>
      </c>
      <c r="R31">
        <v>1</v>
      </c>
      <c r="S31">
        <v>1</v>
      </c>
      <c r="T31" t="s">
        <v>51</v>
      </c>
      <c r="U31" t="s">
        <v>52</v>
      </c>
      <c r="V31" t="s">
        <v>53</v>
      </c>
      <c r="W31">
        <v>617</v>
      </c>
      <c r="X31">
        <v>416</v>
      </c>
      <c r="Y31">
        <v>0.67423014586709884</v>
      </c>
      <c r="Z31">
        <v>19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395</v>
      </c>
      <c r="AH31">
        <v>2</v>
      </c>
      <c r="AJ31">
        <v>0</v>
      </c>
      <c r="AK31">
        <v>0</v>
      </c>
      <c r="AL31">
        <v>3.4035656401944892E-2</v>
      </c>
      <c r="AN31">
        <v>9</v>
      </c>
      <c r="AO31" s="3">
        <v>0</v>
      </c>
      <c r="AQ31">
        <v>308</v>
      </c>
      <c r="AR31">
        <f>(Table2[[#This Row],[Tx_Arm_Patinet_Withdrawal_Consent]]+Table2[[#This Row],[Tx_am_lost_fu]]+Table2[[#This Row],[Tx_arm_noncomp]])/Table2[[#This Row],[Tx_arm_randomized_to_tx]]</f>
        <v>2.922077922077922E-2</v>
      </c>
      <c r="AS31">
        <v>10</v>
      </c>
      <c r="AV31">
        <v>309</v>
      </c>
      <c r="AW31">
        <f>(Table2[[#This Row],[Cr_arm_patient_withdrawal_consent]]+Table2[[#This Row],[Cr_arm_lost_fu]]+Table2[[#This Row],[Cr_am_noncomp]])/Table2[[#This Row],[Cr_am_total_randomized+patients]]</f>
        <v>3.2362459546925564E-2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54</v>
      </c>
      <c r="BI31" t="s">
        <v>54</v>
      </c>
    </row>
    <row r="32" spans="1:61" x14ac:dyDescent="0.2">
      <c r="A32" s="5" t="s">
        <v>233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48</v>
      </c>
      <c r="N32">
        <v>1</v>
      </c>
      <c r="O32">
        <v>2.777777777777778E-2</v>
      </c>
      <c r="P32" t="s">
        <v>50</v>
      </c>
      <c r="Q32" t="s">
        <v>50</v>
      </c>
      <c r="R32">
        <v>1</v>
      </c>
      <c r="S32">
        <v>1</v>
      </c>
      <c r="T32" t="s">
        <v>51</v>
      </c>
      <c r="U32" t="s">
        <v>52</v>
      </c>
      <c r="V32" t="s">
        <v>53</v>
      </c>
      <c r="W32">
        <v>100</v>
      </c>
      <c r="X32">
        <v>100</v>
      </c>
      <c r="Y32">
        <v>1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32</v>
      </c>
      <c r="AH32">
        <v>3</v>
      </c>
      <c r="AJ32">
        <v>0</v>
      </c>
      <c r="AK32">
        <v>62</v>
      </c>
      <c r="AL32">
        <v>0.06</v>
      </c>
      <c r="AM32" t="s">
        <v>385</v>
      </c>
      <c r="AN32">
        <v>2</v>
      </c>
      <c r="AQ32">
        <v>51</v>
      </c>
      <c r="AR32" s="8">
        <f>(Table2[[#This Row],[Tx_Arm_Patinet_Withdrawal_Consent]]+Table2[[#This Row],[Tx_am_lost_fu]]+Table2[[#This Row],[Tx_arm_noncomp]])/Table2[[#This Row],[Tx_arm_randomized_to_tx]]</f>
        <v>3.9215686274509803E-2</v>
      </c>
      <c r="AS32">
        <v>1</v>
      </c>
      <c r="AV32">
        <v>49</v>
      </c>
      <c r="AW32" s="8">
        <f>(Table2[[#This Row],[Cr_arm_patient_withdrawal_consent]]+Table2[[#This Row],[Cr_arm_lost_fu]]+Table2[[#This Row],[Cr_am_noncomp]])/Table2[[#This Row],[Cr_am_total_randomized+patients]]</f>
        <v>2.0408163265306121E-2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 t="s">
        <v>54</v>
      </c>
      <c r="BI32" t="s">
        <v>54</v>
      </c>
    </row>
    <row r="33" spans="1:61" x14ac:dyDescent="0.2">
      <c r="A33" t="s">
        <v>296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 t="s">
        <v>48</v>
      </c>
      <c r="N33">
        <v>1</v>
      </c>
      <c r="O33">
        <v>3.9833333333333329</v>
      </c>
      <c r="P33" t="s">
        <v>56</v>
      </c>
      <c r="Q33" t="s">
        <v>56</v>
      </c>
      <c r="R33">
        <v>2</v>
      </c>
      <c r="S33">
        <v>1</v>
      </c>
      <c r="T33" t="s">
        <v>51</v>
      </c>
      <c r="U33" t="s">
        <v>52</v>
      </c>
      <c r="V33" t="s">
        <v>53</v>
      </c>
      <c r="W33">
        <v>304</v>
      </c>
      <c r="X33">
        <v>114</v>
      </c>
      <c r="Y33">
        <v>0.375</v>
      </c>
      <c r="Z33">
        <v>7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91</v>
      </c>
      <c r="AH33">
        <v>4</v>
      </c>
      <c r="AJ33">
        <v>12</v>
      </c>
      <c r="AK33">
        <v>0</v>
      </c>
      <c r="AL33">
        <v>3.6184210526315791E-2</v>
      </c>
      <c r="AN33">
        <v>2</v>
      </c>
      <c r="AO33" s="3">
        <v>0</v>
      </c>
      <c r="AQ33">
        <v>152</v>
      </c>
      <c r="AR33">
        <f>(Table2[[#This Row],[Tx_Arm_Patinet_Withdrawal_Consent]]+Table2[[#This Row],[Tx_am_lost_fu]]+Table2[[#This Row],[Tx_arm_noncomp]])/Table2[[#This Row],[Tx_arm_randomized_to_tx]]</f>
        <v>1.3157894736842105E-2</v>
      </c>
      <c r="AS33">
        <v>6</v>
      </c>
      <c r="AV33">
        <v>152</v>
      </c>
      <c r="AW33">
        <f>(Table2[[#This Row],[Cr_arm_patient_withdrawal_consent]]+Table2[[#This Row],[Cr_arm_lost_fu]]+Table2[[#This Row],[Cr_am_noncomp]])/Table2[[#This Row],[Cr_am_total_randomized+patients]]</f>
        <v>3.9473684210526314E-2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 t="s">
        <v>54</v>
      </c>
      <c r="BI33" t="s">
        <v>54</v>
      </c>
    </row>
    <row r="34" spans="1:61" x14ac:dyDescent="0.2">
      <c r="A34" t="s">
        <v>309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48</v>
      </c>
      <c r="N34">
        <v>1</v>
      </c>
      <c r="O34">
        <v>8.3333333333333332E-3</v>
      </c>
      <c r="P34" t="s">
        <v>50</v>
      </c>
      <c r="Q34" t="s">
        <v>50</v>
      </c>
      <c r="R34">
        <v>2</v>
      </c>
      <c r="S34">
        <v>0</v>
      </c>
      <c r="T34" t="s">
        <v>51</v>
      </c>
      <c r="U34" t="s">
        <v>52</v>
      </c>
      <c r="V34" t="s">
        <v>73</v>
      </c>
      <c r="W34">
        <v>357</v>
      </c>
      <c r="X34">
        <v>307</v>
      </c>
      <c r="Y34">
        <v>0.85994397759103647</v>
      </c>
      <c r="Z34">
        <v>22</v>
      </c>
      <c r="AA34">
        <v>28</v>
      </c>
      <c r="AB34">
        <v>238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0</v>
      </c>
      <c r="AJ34">
        <v>10</v>
      </c>
      <c r="AK34">
        <v>0</v>
      </c>
      <c r="AL34">
        <v>6.1624649859943981E-2</v>
      </c>
      <c r="AN34">
        <v>5</v>
      </c>
      <c r="AO34" s="3">
        <v>0</v>
      </c>
      <c r="AQ34">
        <v>179</v>
      </c>
      <c r="AR34">
        <f>(Table2[[#This Row],[Tx_Arm_Patinet_Withdrawal_Consent]]+Table2[[#This Row],[Tx_am_lost_fu]]+Table2[[#This Row],[Tx_arm_noncomp]])/Table2[[#This Row],[Tx_arm_randomized_to_tx]]</f>
        <v>2.7932960893854747E-2</v>
      </c>
      <c r="AS34">
        <v>7</v>
      </c>
      <c r="AV34">
        <v>178</v>
      </c>
      <c r="AW34">
        <f>(Table2[[#This Row],[Cr_arm_patient_withdrawal_consent]]+Table2[[#This Row],[Cr_arm_lost_fu]]+Table2[[#This Row],[Cr_am_noncomp]])/Table2[[#This Row],[Cr_am_total_randomized+patients]]</f>
        <v>3.9325842696629212E-2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54</v>
      </c>
      <c r="BI34" t="s">
        <v>63</v>
      </c>
    </row>
    <row r="35" spans="1:61" x14ac:dyDescent="0.2">
      <c r="A35" t="s">
        <v>206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 t="s">
        <v>48</v>
      </c>
      <c r="N35">
        <v>1</v>
      </c>
      <c r="O35">
        <v>8.3333333333333339</v>
      </c>
      <c r="P35" t="s">
        <v>50</v>
      </c>
      <c r="Q35" t="s">
        <v>50</v>
      </c>
      <c r="R35">
        <v>1</v>
      </c>
      <c r="S35">
        <v>1</v>
      </c>
      <c r="T35" t="s">
        <v>51</v>
      </c>
      <c r="U35" t="s">
        <v>52</v>
      </c>
      <c r="V35" t="s">
        <v>53</v>
      </c>
      <c r="W35">
        <v>360</v>
      </c>
      <c r="X35">
        <v>333</v>
      </c>
      <c r="Y35">
        <v>0.92500000000000004</v>
      </c>
      <c r="Z35">
        <v>18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251</v>
      </c>
      <c r="AH35">
        <v>6</v>
      </c>
      <c r="AJ35">
        <v>0</v>
      </c>
      <c r="AK35">
        <v>56</v>
      </c>
      <c r="AL35">
        <v>6.9444444444444448E-2</v>
      </c>
      <c r="AN35">
        <v>7</v>
      </c>
      <c r="AO35" s="3">
        <v>0</v>
      </c>
      <c r="AQ35">
        <v>239</v>
      </c>
      <c r="AR35">
        <f>(Table2[[#This Row],[Tx_Arm_Patinet_Withdrawal_Consent]]+Table2[[#This Row],[Tx_am_lost_fu]]+Table2[[#This Row],[Tx_arm_noncomp]])/Table2[[#This Row],[Tx_arm_randomized_to_tx]]</f>
        <v>2.9288702928870293E-2</v>
      </c>
      <c r="AS35">
        <v>11</v>
      </c>
      <c r="AV35">
        <v>121</v>
      </c>
      <c r="AW35">
        <f>(Table2[[#This Row],[Cr_arm_patient_withdrawal_consent]]+Table2[[#This Row],[Cr_arm_lost_fu]]+Table2[[#This Row],[Cr_am_noncomp]])/Table2[[#This Row],[Cr_am_total_randomized+patients]]</f>
        <v>9.0909090909090912E-2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 t="s">
        <v>54</v>
      </c>
      <c r="BI35" t="s">
        <v>54</v>
      </c>
    </row>
    <row r="36" spans="1:61" x14ac:dyDescent="0.2">
      <c r="A36" t="s">
        <v>304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48</v>
      </c>
      <c r="N36">
        <v>1</v>
      </c>
      <c r="O36">
        <v>6.6805555555555554</v>
      </c>
      <c r="P36" t="s">
        <v>50</v>
      </c>
      <c r="Q36" t="s">
        <v>50</v>
      </c>
      <c r="R36">
        <v>2</v>
      </c>
      <c r="S36">
        <v>0</v>
      </c>
      <c r="T36" t="s">
        <v>51</v>
      </c>
      <c r="U36" t="s">
        <v>52</v>
      </c>
      <c r="V36" t="s">
        <v>53</v>
      </c>
      <c r="W36">
        <v>492</v>
      </c>
      <c r="X36">
        <v>484</v>
      </c>
      <c r="Y36">
        <v>0.98373983739837401</v>
      </c>
      <c r="Z36">
        <v>15</v>
      </c>
      <c r="AA36">
        <v>39</v>
      </c>
      <c r="AB36">
        <v>428</v>
      </c>
      <c r="AC36">
        <v>0</v>
      </c>
      <c r="AD36">
        <v>0</v>
      </c>
      <c r="AE36">
        <v>0</v>
      </c>
      <c r="AF36">
        <v>2</v>
      </c>
      <c r="AG36">
        <v>0</v>
      </c>
      <c r="AH36">
        <v>0</v>
      </c>
      <c r="AJ36">
        <v>0</v>
      </c>
      <c r="AK36">
        <v>0</v>
      </c>
      <c r="AL36">
        <v>3.4552845528455285E-2</v>
      </c>
      <c r="AN36">
        <v>0</v>
      </c>
      <c r="AO36" s="3">
        <v>0</v>
      </c>
      <c r="AQ36">
        <v>245</v>
      </c>
      <c r="AR36">
        <f>(Table2[[#This Row],[Tx_Arm_Patinet_Withdrawal_Consent]]+Table2[[#This Row],[Tx_am_lost_fu]]+Table2[[#This Row],[Tx_arm_noncomp]])/Table2[[#This Row],[Tx_arm_randomized_to_tx]]</f>
        <v>0</v>
      </c>
      <c r="AS36">
        <v>4</v>
      </c>
      <c r="AV36">
        <v>247</v>
      </c>
      <c r="AW36">
        <f>(Table2[[#This Row],[Cr_arm_patient_withdrawal_consent]]+Table2[[#This Row],[Cr_arm_lost_fu]]+Table2[[#This Row],[Cr_am_noncomp]])/Table2[[#This Row],[Cr_am_total_randomized+patients]]</f>
        <v>1.6194331983805668E-2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 t="s">
        <v>54</v>
      </c>
      <c r="BI36" t="s">
        <v>54</v>
      </c>
    </row>
    <row r="37" spans="1:61" x14ac:dyDescent="0.2">
      <c r="A37" t="s">
        <v>133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48</v>
      </c>
      <c r="N37">
        <v>1</v>
      </c>
      <c r="O37" t="s">
        <v>49</v>
      </c>
      <c r="P37" t="s">
        <v>50</v>
      </c>
      <c r="Q37" t="s">
        <v>50</v>
      </c>
      <c r="R37">
        <v>2</v>
      </c>
      <c r="S37">
        <v>0</v>
      </c>
      <c r="T37" t="s">
        <v>51</v>
      </c>
      <c r="U37" t="s">
        <v>52</v>
      </c>
      <c r="V37" t="s">
        <v>53</v>
      </c>
      <c r="W37">
        <v>831</v>
      </c>
      <c r="X37">
        <v>91</v>
      </c>
      <c r="Y37">
        <v>0.1095066185318893</v>
      </c>
      <c r="Z37">
        <v>82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8</v>
      </c>
      <c r="AJ37">
        <v>0</v>
      </c>
      <c r="AK37">
        <v>0</v>
      </c>
      <c r="AL37">
        <v>0.1095066185318893</v>
      </c>
      <c r="AN37">
        <v>29</v>
      </c>
      <c r="AO37" s="3">
        <v>0</v>
      </c>
      <c r="AQ37">
        <v>551</v>
      </c>
      <c r="AR37">
        <f>(Table2[[#This Row],[Tx_Arm_Patinet_Withdrawal_Consent]]+Table2[[#This Row],[Tx_am_lost_fu]]+Table2[[#This Row],[Tx_arm_noncomp]])/Table2[[#This Row],[Tx_arm_randomized_to_tx]]</f>
        <v>5.2631578947368418E-2</v>
      </c>
      <c r="AS37">
        <v>53</v>
      </c>
      <c r="AV37">
        <v>280</v>
      </c>
      <c r="AW37">
        <f>(Table2[[#This Row],[Cr_arm_patient_withdrawal_consent]]+Table2[[#This Row],[Cr_arm_lost_fu]]+Table2[[#This Row],[Cr_am_noncomp]])/Table2[[#This Row],[Cr_am_total_randomized+patients]]</f>
        <v>0.18928571428571428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54</v>
      </c>
      <c r="BI37" t="s">
        <v>54</v>
      </c>
    </row>
    <row r="38" spans="1:61" x14ac:dyDescent="0.2">
      <c r="A38" t="s">
        <v>112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 t="s">
        <v>48</v>
      </c>
      <c r="N38">
        <v>1</v>
      </c>
      <c r="O38">
        <v>0.82222222222222219</v>
      </c>
      <c r="P38" t="s">
        <v>50</v>
      </c>
      <c r="Q38" t="s">
        <v>50</v>
      </c>
      <c r="R38">
        <v>1</v>
      </c>
      <c r="S38">
        <v>1</v>
      </c>
      <c r="T38" t="s">
        <v>51</v>
      </c>
      <c r="U38" t="s">
        <v>52</v>
      </c>
      <c r="V38" t="s">
        <v>53</v>
      </c>
      <c r="W38">
        <v>528</v>
      </c>
      <c r="X38">
        <v>455</v>
      </c>
      <c r="Y38">
        <v>0.8617424242424242</v>
      </c>
      <c r="Z38">
        <v>67</v>
      </c>
      <c r="AA38">
        <v>83</v>
      </c>
      <c r="AB38">
        <v>246</v>
      </c>
      <c r="AC38">
        <v>0</v>
      </c>
      <c r="AD38">
        <v>0</v>
      </c>
      <c r="AE38">
        <v>30</v>
      </c>
      <c r="AF38">
        <v>0</v>
      </c>
      <c r="AG38">
        <v>16</v>
      </c>
      <c r="AH38">
        <v>0</v>
      </c>
      <c r="AJ38">
        <v>13</v>
      </c>
      <c r="AK38">
        <v>0</v>
      </c>
      <c r="AL38">
        <v>0.12689393939393939</v>
      </c>
      <c r="AN38">
        <v>20</v>
      </c>
      <c r="AO38" s="3">
        <v>0</v>
      </c>
      <c r="AQ38">
        <v>266</v>
      </c>
      <c r="AR38">
        <f>(Table2[[#This Row],[Tx_Arm_Patinet_Withdrawal_Consent]]+Table2[[#This Row],[Tx_am_lost_fu]]+Table2[[#This Row],[Tx_arm_noncomp]])/Table2[[#This Row],[Tx_arm_randomized_to_tx]]</f>
        <v>7.5187969924812026E-2</v>
      </c>
      <c r="AS38">
        <v>47</v>
      </c>
      <c r="AV38">
        <v>262</v>
      </c>
      <c r="AW38">
        <f>(Table2[[#This Row],[Cr_arm_patient_withdrawal_consent]]+Table2[[#This Row],[Cr_arm_lost_fu]]+Table2[[#This Row],[Cr_am_noncomp]])/Table2[[#This Row],[Cr_am_total_randomized+patients]]</f>
        <v>0.17938931297709923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54</v>
      </c>
      <c r="BI38" t="s">
        <v>63</v>
      </c>
    </row>
    <row r="39" spans="1:61" x14ac:dyDescent="0.2">
      <c r="A39" t="s">
        <v>95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 t="s">
        <v>69</v>
      </c>
      <c r="N39">
        <v>0</v>
      </c>
      <c r="O39">
        <v>0.48888888888888887</v>
      </c>
      <c r="P39" t="s">
        <v>56</v>
      </c>
      <c r="Q39" t="s">
        <v>56</v>
      </c>
      <c r="R39">
        <v>3</v>
      </c>
      <c r="S39">
        <v>0</v>
      </c>
      <c r="T39" t="s">
        <v>51</v>
      </c>
      <c r="U39" t="s">
        <v>52</v>
      </c>
      <c r="V39" t="s">
        <v>53</v>
      </c>
      <c r="W39">
        <v>121</v>
      </c>
      <c r="X39">
        <v>98</v>
      </c>
      <c r="Y39">
        <v>0.80991735537190079</v>
      </c>
      <c r="Z39">
        <v>10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80</v>
      </c>
      <c r="AH39">
        <v>8</v>
      </c>
      <c r="AJ39">
        <v>0</v>
      </c>
      <c r="AK39">
        <v>0</v>
      </c>
      <c r="AL39">
        <v>0.1487603305785124</v>
      </c>
      <c r="AN39">
        <v>10</v>
      </c>
      <c r="AO39" s="3">
        <v>0</v>
      </c>
      <c r="AQ39">
        <v>121</v>
      </c>
      <c r="AR39">
        <f>(Table2[[#This Row],[Tx_Arm_Patinet_Withdrawal_Consent]]+Table2[[#This Row],[Tx_am_lost_fu]]+Table2[[#This Row],[Tx_arm_noncomp]])/Table2[[#This Row],[Tx_arm_randomized_to_tx]]</f>
        <v>8.2644628099173556E-2</v>
      </c>
      <c r="AS39" t="s">
        <v>373</v>
      </c>
      <c r="AT39" t="s">
        <v>373</v>
      </c>
      <c r="AU39" t="s">
        <v>373</v>
      </c>
      <c r="AV39" t="s">
        <v>373</v>
      </c>
      <c r="AW39" t="e">
        <f>(Table2[[#This Row],[Cr_arm_patient_withdrawal_consent]]+Table2[[#This Row],[Cr_arm_lost_fu]]+Table2[[#This Row],[Cr_am_noncomp]])/Table2[[#This Row],[Cr_am_total_randomized+patients]]</f>
        <v>#VALUE!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54</v>
      </c>
      <c r="BI39" t="s">
        <v>63</v>
      </c>
    </row>
    <row r="40" spans="1:61" x14ac:dyDescent="0.2">
      <c r="A40" t="s">
        <v>317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48</v>
      </c>
      <c r="N40">
        <v>1</v>
      </c>
      <c r="O40">
        <v>0.5083333333333333</v>
      </c>
      <c r="P40" t="s">
        <v>56</v>
      </c>
      <c r="Q40" t="s">
        <v>56</v>
      </c>
      <c r="R40">
        <v>1</v>
      </c>
      <c r="S40">
        <v>1</v>
      </c>
      <c r="T40" t="s">
        <v>51</v>
      </c>
      <c r="U40" t="s">
        <v>52</v>
      </c>
      <c r="V40" t="s">
        <v>53</v>
      </c>
      <c r="W40">
        <v>476</v>
      </c>
      <c r="X40">
        <v>476</v>
      </c>
      <c r="Y40">
        <v>1</v>
      </c>
      <c r="Z40">
        <v>35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189</v>
      </c>
      <c r="AG40">
        <v>176</v>
      </c>
      <c r="AH40">
        <v>8</v>
      </c>
      <c r="AJ40">
        <v>68</v>
      </c>
      <c r="AK40">
        <v>0</v>
      </c>
      <c r="AL40">
        <v>0.48739495798319327</v>
      </c>
      <c r="AN40">
        <v>9</v>
      </c>
      <c r="AO40" s="3">
        <v>0</v>
      </c>
      <c r="AQ40">
        <v>240</v>
      </c>
      <c r="AR40">
        <f>(Table2[[#This Row],[Tx_Arm_Patinet_Withdrawal_Consent]]+Table2[[#This Row],[Tx_am_lost_fu]]+Table2[[#This Row],[Tx_arm_noncomp]])/Table2[[#This Row],[Tx_arm_randomized_to_tx]]</f>
        <v>3.7499999999999999E-2</v>
      </c>
      <c r="AS40">
        <v>2</v>
      </c>
      <c r="AV40">
        <v>236</v>
      </c>
      <c r="AW40">
        <f>(Table2[[#This Row],[Cr_arm_patient_withdrawal_consent]]+Table2[[#This Row],[Cr_arm_lost_fu]]+Table2[[#This Row],[Cr_am_noncomp]])/Table2[[#This Row],[Cr_am_total_randomized+patients]]</f>
        <v>8.4745762711864406E-3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54</v>
      </c>
      <c r="BI40" t="s">
        <v>63</v>
      </c>
    </row>
    <row r="41" spans="1:61" x14ac:dyDescent="0.2">
      <c r="A41" s="5" t="s">
        <v>153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48</v>
      </c>
      <c r="N41">
        <v>1</v>
      </c>
      <c r="O41">
        <v>0.1361111111111111</v>
      </c>
      <c r="P41" t="s">
        <v>56</v>
      </c>
      <c r="Q41" t="s">
        <v>50</v>
      </c>
      <c r="R41">
        <v>1</v>
      </c>
      <c r="S41">
        <v>1</v>
      </c>
      <c r="T41" t="s">
        <v>51</v>
      </c>
      <c r="U41" t="s">
        <v>52</v>
      </c>
      <c r="V41" t="s">
        <v>53</v>
      </c>
      <c r="W41">
        <v>558</v>
      </c>
      <c r="X41">
        <v>501</v>
      </c>
      <c r="Y41">
        <v>0.89784946236559138</v>
      </c>
      <c r="Z41">
        <v>41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343</v>
      </c>
      <c r="AH41">
        <v>9</v>
      </c>
      <c r="AJ41">
        <v>1</v>
      </c>
      <c r="AK41">
        <v>106</v>
      </c>
      <c r="AL41">
        <v>9.1397849462365593E-2</v>
      </c>
      <c r="AM41" t="s">
        <v>385</v>
      </c>
      <c r="AN41">
        <v>21</v>
      </c>
      <c r="AQ41">
        <v>336</v>
      </c>
      <c r="AR41" s="8">
        <f>(Table2[[#This Row],[Tx_Arm_Patinet_Withdrawal_Consent]]+Table2[[#This Row],[Tx_am_lost_fu]]+Table2[[#This Row],[Tx_arm_noncomp]])/Table2[[#This Row],[Tx_arm_randomized_to_tx]]</f>
        <v>6.25E-2</v>
      </c>
      <c r="AS41">
        <v>20</v>
      </c>
      <c r="AV41">
        <v>165</v>
      </c>
      <c r="AW41" s="8">
        <f>(Table2[[#This Row],[Cr_arm_patient_withdrawal_consent]]+Table2[[#This Row],[Cr_arm_lost_fu]]+Table2[[#This Row],[Cr_am_noncomp]])/Table2[[#This Row],[Cr_am_total_randomized+patients]]</f>
        <v>0.12121212121212122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 t="s">
        <v>54</v>
      </c>
      <c r="BI41" t="s">
        <v>54</v>
      </c>
    </row>
    <row r="42" spans="1:61" x14ac:dyDescent="0.2">
      <c r="A42" t="s">
        <v>272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48</v>
      </c>
      <c r="N42">
        <v>1</v>
      </c>
      <c r="O42">
        <v>8.2361111111111107</v>
      </c>
      <c r="P42" t="s">
        <v>56</v>
      </c>
      <c r="Q42" t="s">
        <v>56</v>
      </c>
      <c r="R42">
        <v>1</v>
      </c>
      <c r="S42">
        <v>1</v>
      </c>
      <c r="T42" t="s">
        <v>51</v>
      </c>
      <c r="U42" t="s">
        <v>52</v>
      </c>
      <c r="V42" t="s">
        <v>53</v>
      </c>
      <c r="W42">
        <v>512</v>
      </c>
      <c r="X42">
        <v>512</v>
      </c>
      <c r="Y42">
        <v>1</v>
      </c>
      <c r="Z42">
        <v>19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466</v>
      </c>
      <c r="AH42">
        <v>4</v>
      </c>
      <c r="AJ42">
        <v>0</v>
      </c>
      <c r="AK42">
        <v>23</v>
      </c>
      <c r="AL42">
        <v>4.4921875E-2</v>
      </c>
      <c r="AN42">
        <v>5</v>
      </c>
      <c r="AO42" s="3">
        <v>0</v>
      </c>
      <c r="AQ42">
        <v>256</v>
      </c>
      <c r="AR42">
        <f>(Table2[[#This Row],[Tx_Arm_Patinet_Withdrawal_Consent]]+Table2[[#This Row],[Tx_am_lost_fu]]+Table2[[#This Row],[Tx_arm_noncomp]])/Table2[[#This Row],[Tx_arm_randomized_to_tx]]</f>
        <v>1.953125E-2</v>
      </c>
      <c r="AS42">
        <v>14</v>
      </c>
      <c r="AV42">
        <v>256</v>
      </c>
      <c r="AW42">
        <f>(Table2[[#This Row],[Cr_arm_patient_withdrawal_consent]]+Table2[[#This Row],[Cr_arm_lost_fu]]+Table2[[#This Row],[Cr_am_noncomp]])/Table2[[#This Row],[Cr_am_total_randomized+patients]]</f>
        <v>5.46875E-2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63</v>
      </c>
      <c r="BI42" t="s">
        <v>54</v>
      </c>
    </row>
    <row r="43" spans="1:61" x14ac:dyDescent="0.2">
      <c r="A43" t="s">
        <v>183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 t="s">
        <v>48</v>
      </c>
      <c r="N43">
        <v>1</v>
      </c>
      <c r="O43">
        <v>0.2388888888888889</v>
      </c>
      <c r="P43" t="s">
        <v>50</v>
      </c>
      <c r="Q43" t="s">
        <v>50</v>
      </c>
      <c r="R43">
        <v>1</v>
      </c>
      <c r="S43">
        <v>1</v>
      </c>
      <c r="T43" t="s">
        <v>51</v>
      </c>
      <c r="U43" t="s">
        <v>52</v>
      </c>
      <c r="V43" t="s">
        <v>53</v>
      </c>
      <c r="W43">
        <v>730</v>
      </c>
      <c r="X43">
        <v>709</v>
      </c>
      <c r="Y43">
        <v>0.97123287671232872</v>
      </c>
      <c r="Z43">
        <v>50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407</v>
      </c>
      <c r="AH43">
        <v>5</v>
      </c>
      <c r="AJ43">
        <v>6</v>
      </c>
      <c r="AK43">
        <v>241</v>
      </c>
      <c r="AL43">
        <v>7.5342465753424653E-2</v>
      </c>
      <c r="AN43">
        <v>21</v>
      </c>
      <c r="AO43" s="3">
        <v>0</v>
      </c>
      <c r="AP43">
        <v>119</v>
      </c>
      <c r="AQ43">
        <v>364</v>
      </c>
      <c r="AR43">
        <f>(Table2[[#This Row],[Tx_Arm_Patinet_Withdrawal_Consent]]+Table2[[#This Row],[Tx_am_lost_fu]]+Table2[[#This Row],[Tx_arm_noncomp]])/Table2[[#This Row],[Tx_arm_randomized_to_tx]]</f>
        <v>0.38461538461538464</v>
      </c>
      <c r="AS43">
        <v>29</v>
      </c>
      <c r="AU43">
        <v>122</v>
      </c>
      <c r="AV43">
        <v>365</v>
      </c>
      <c r="AW43">
        <f>(Table2[[#This Row],[Cr_arm_patient_withdrawal_consent]]+Table2[[#This Row],[Cr_arm_lost_fu]]+Table2[[#This Row],[Cr_am_noncomp]])/Table2[[#This Row],[Cr_am_total_randomized+patients]]</f>
        <v>0.41369863013698632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54</v>
      </c>
      <c r="BI43" t="s">
        <v>63</v>
      </c>
    </row>
    <row r="44" spans="1:61" x14ac:dyDescent="0.2">
      <c r="A44" s="5" t="s">
        <v>180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48</v>
      </c>
      <c r="N44">
        <v>1</v>
      </c>
      <c r="O44">
        <v>1.111111111111111E-2</v>
      </c>
      <c r="P44" t="s">
        <v>50</v>
      </c>
      <c r="Q44" t="s">
        <v>50</v>
      </c>
      <c r="R44">
        <v>2</v>
      </c>
      <c r="S44">
        <v>0</v>
      </c>
      <c r="T44" t="s">
        <v>51</v>
      </c>
      <c r="U44" t="s">
        <v>52</v>
      </c>
      <c r="V44" t="s">
        <v>53</v>
      </c>
      <c r="W44">
        <v>196</v>
      </c>
      <c r="X44">
        <v>186</v>
      </c>
      <c r="Y44">
        <v>0.94897959183673475</v>
      </c>
      <c r="Z44">
        <v>11</v>
      </c>
      <c r="AA44">
        <v>15</v>
      </c>
      <c r="AB44">
        <v>104</v>
      </c>
      <c r="AC44">
        <v>0</v>
      </c>
      <c r="AD44">
        <v>0</v>
      </c>
      <c r="AE44">
        <v>0</v>
      </c>
      <c r="AF44">
        <v>3</v>
      </c>
      <c r="AG44">
        <v>1</v>
      </c>
      <c r="AH44">
        <v>1</v>
      </c>
      <c r="AJ44">
        <v>51</v>
      </c>
      <c r="AK44">
        <v>0</v>
      </c>
      <c r="AL44">
        <v>7.6530612244897961E-2</v>
      </c>
      <c r="AM44" t="s">
        <v>384</v>
      </c>
      <c r="AN44">
        <v>13</v>
      </c>
      <c r="AQ44">
        <v>127</v>
      </c>
      <c r="AR44" s="8">
        <f>(Table2[[#This Row],[Tx_Arm_Patinet_Withdrawal_Consent]]+Table2[[#This Row],[Tx_am_lost_fu]]+Table2[[#This Row],[Tx_arm_noncomp]])/Table2[[#This Row],[Tx_arm_randomized_to_tx]]</f>
        <v>0.10236220472440945</v>
      </c>
      <c r="AS44">
        <v>16</v>
      </c>
      <c r="AV44">
        <v>68</v>
      </c>
      <c r="AW44" s="8">
        <f>(Table2[[#This Row],[Cr_arm_patient_withdrawal_consent]]+Table2[[#This Row],[Cr_arm_lost_fu]]+Table2[[#This Row],[Cr_am_noncomp]])/Table2[[#This Row],[Cr_am_total_randomized+patients]]</f>
        <v>0.23529411764705882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 t="s">
        <v>54</v>
      </c>
      <c r="BI44" t="s">
        <v>54</v>
      </c>
    </row>
    <row r="45" spans="1:61" x14ac:dyDescent="0.2">
      <c r="A45" t="s">
        <v>222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48</v>
      </c>
      <c r="N45">
        <v>1</v>
      </c>
      <c r="O45">
        <v>2.4083333333333332</v>
      </c>
      <c r="P45" t="s">
        <v>50</v>
      </c>
      <c r="Q45" t="s">
        <v>56</v>
      </c>
      <c r="R45">
        <v>2</v>
      </c>
      <c r="S45">
        <v>0</v>
      </c>
      <c r="T45" t="s">
        <v>51</v>
      </c>
      <c r="U45" t="s">
        <v>52</v>
      </c>
      <c r="V45" t="s">
        <v>53</v>
      </c>
      <c r="W45">
        <v>175</v>
      </c>
      <c r="X45">
        <v>175</v>
      </c>
      <c r="Y45">
        <v>1</v>
      </c>
      <c r="Z45" s="6">
        <v>10</v>
      </c>
      <c r="AA45" s="6">
        <v>27</v>
      </c>
      <c r="AB45" s="6">
        <v>114</v>
      </c>
      <c r="AC45" s="6">
        <v>0</v>
      </c>
      <c r="AD45" s="6">
        <v>0</v>
      </c>
      <c r="AE45" s="6">
        <v>5</v>
      </c>
      <c r="AF45" s="6">
        <v>0</v>
      </c>
      <c r="AG45" s="6">
        <v>10</v>
      </c>
      <c r="AH45" s="6">
        <v>1</v>
      </c>
      <c r="AI45" s="6"/>
      <c r="AJ45" s="6">
        <v>8</v>
      </c>
      <c r="AK45" s="6">
        <v>0</v>
      </c>
      <c r="AL45">
        <v>6.2857142857142861E-2</v>
      </c>
      <c r="AN45">
        <v>6</v>
      </c>
      <c r="AO45" s="3">
        <v>0</v>
      </c>
      <c r="AQ45">
        <v>87</v>
      </c>
      <c r="AR45">
        <f>(Table2[[#This Row],[Tx_Arm_Patinet_Withdrawal_Consent]]+Table2[[#This Row],[Tx_am_lost_fu]]+Table2[[#This Row],[Tx_arm_noncomp]])/Table2[[#This Row],[Tx_arm_randomized_to_tx]]</f>
        <v>6.8965517241379309E-2</v>
      </c>
      <c r="AS45">
        <v>4</v>
      </c>
      <c r="AV45">
        <v>88</v>
      </c>
      <c r="AW45">
        <f>(Table2[[#This Row],[Cr_arm_patient_withdrawal_consent]]+Table2[[#This Row],[Cr_arm_lost_fu]]+Table2[[#This Row],[Cr_am_noncomp]])/Table2[[#This Row],[Cr_am_total_randomized+patients]]</f>
        <v>4.5454545454545456E-2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54</v>
      </c>
      <c r="BI45" t="s">
        <v>54</v>
      </c>
    </row>
    <row r="46" spans="1:61" x14ac:dyDescent="0.2">
      <c r="A46" s="5" t="s">
        <v>191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 t="s">
        <v>69</v>
      </c>
      <c r="N46">
        <v>0</v>
      </c>
      <c r="O46">
        <v>0.42499999999999999</v>
      </c>
      <c r="P46" t="s">
        <v>56</v>
      </c>
      <c r="Q46" t="s">
        <v>56</v>
      </c>
      <c r="R46">
        <v>3</v>
      </c>
      <c r="S46">
        <v>0</v>
      </c>
      <c r="T46" t="s">
        <v>51</v>
      </c>
      <c r="U46" t="s">
        <v>52</v>
      </c>
      <c r="V46" t="s">
        <v>53</v>
      </c>
      <c r="W46">
        <v>301</v>
      </c>
      <c r="X46">
        <v>249</v>
      </c>
      <c r="Y46">
        <v>0.8272425249169435</v>
      </c>
      <c r="Z46">
        <v>17</v>
      </c>
      <c r="AA46">
        <v>32</v>
      </c>
      <c r="AB46">
        <v>73</v>
      </c>
      <c r="AC46">
        <v>0</v>
      </c>
      <c r="AD46">
        <v>0</v>
      </c>
      <c r="AE46">
        <v>104</v>
      </c>
      <c r="AF46">
        <v>4</v>
      </c>
      <c r="AG46">
        <v>18</v>
      </c>
      <c r="AH46">
        <v>1</v>
      </c>
      <c r="AJ46">
        <v>0</v>
      </c>
      <c r="AK46">
        <v>0</v>
      </c>
      <c r="AL46">
        <v>7.3089700996677748E-2</v>
      </c>
      <c r="AM46" t="s">
        <v>385</v>
      </c>
      <c r="AN46">
        <v>0</v>
      </c>
      <c r="AQ46">
        <v>301</v>
      </c>
      <c r="AR46" s="8">
        <f>(Table2[[#This Row],[Tx_Arm_Patinet_Withdrawal_Consent]]+Table2[[#This Row],[Tx_am_lost_fu]]+Table2[[#This Row],[Tx_arm_noncomp]])/Table2[[#This Row],[Tx_arm_randomized_to_tx]]</f>
        <v>0</v>
      </c>
      <c r="AS46" t="s">
        <v>373</v>
      </c>
      <c r="AT46" t="s">
        <v>373</v>
      </c>
      <c r="AU46" t="s">
        <v>373</v>
      </c>
      <c r="AV46" t="s">
        <v>373</v>
      </c>
      <c r="AW46" s="8" t="e">
        <f>(Table2[[#This Row],[Cr_arm_patient_withdrawal_consent]]+Table2[[#This Row],[Cr_arm_lost_fu]]+Table2[[#This Row],[Cr_am_noncomp]])/Table2[[#This Row],[Cr_am_total_randomized+patients]]</f>
        <v>#VALUE!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54</v>
      </c>
      <c r="BI46" t="s">
        <v>63</v>
      </c>
    </row>
    <row r="47" spans="1:61" x14ac:dyDescent="0.2">
      <c r="A47" t="s">
        <v>265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48</v>
      </c>
      <c r="N47">
        <v>1</v>
      </c>
      <c r="O47">
        <v>2.5861111111111108</v>
      </c>
      <c r="P47" t="s">
        <v>50</v>
      </c>
      <c r="Q47" t="s">
        <v>50</v>
      </c>
      <c r="R47">
        <v>1</v>
      </c>
      <c r="S47">
        <v>0</v>
      </c>
      <c r="T47" t="s">
        <v>51</v>
      </c>
      <c r="U47" t="s">
        <v>52</v>
      </c>
      <c r="V47" t="s">
        <v>53</v>
      </c>
      <c r="W47">
        <v>84</v>
      </c>
      <c r="X47">
        <v>33</v>
      </c>
      <c r="Y47">
        <v>0.39285714285714285</v>
      </c>
      <c r="Z47">
        <v>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</v>
      </c>
      <c r="AG47">
        <v>26</v>
      </c>
      <c r="AH47">
        <v>0</v>
      </c>
      <c r="AJ47">
        <v>0</v>
      </c>
      <c r="AK47">
        <v>0</v>
      </c>
      <c r="AL47">
        <v>8.3333333333333329E-2</v>
      </c>
      <c r="AN47">
        <v>3</v>
      </c>
      <c r="AO47" s="3">
        <v>0</v>
      </c>
      <c r="AQ47">
        <v>42</v>
      </c>
      <c r="AR47">
        <f>(Table2[[#This Row],[Tx_Arm_Patinet_Withdrawal_Consent]]+Table2[[#This Row],[Tx_am_lost_fu]]+Table2[[#This Row],[Tx_arm_noncomp]])/Table2[[#This Row],[Tx_arm_randomized_to_tx]]</f>
        <v>7.1428571428571425E-2</v>
      </c>
      <c r="AS47">
        <v>1</v>
      </c>
      <c r="AV47">
        <v>42</v>
      </c>
      <c r="AW47">
        <f>(Table2[[#This Row],[Cr_arm_patient_withdrawal_consent]]+Table2[[#This Row],[Cr_arm_lost_fu]]+Table2[[#This Row],[Cr_am_noncomp]])/Table2[[#This Row],[Cr_am_total_randomized+patients]]</f>
        <v>2.3809523809523808E-2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57</v>
      </c>
      <c r="BI47" t="s">
        <v>57</v>
      </c>
    </row>
    <row r="48" spans="1:61" x14ac:dyDescent="0.2">
      <c r="A48" t="s">
        <v>141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48</v>
      </c>
      <c r="N48">
        <v>1</v>
      </c>
      <c r="O48">
        <v>1.111111111111111E-2</v>
      </c>
      <c r="P48" t="s">
        <v>50</v>
      </c>
      <c r="Q48" t="s">
        <v>50</v>
      </c>
      <c r="R48">
        <v>2</v>
      </c>
      <c r="S48">
        <v>0</v>
      </c>
      <c r="T48" t="s">
        <v>51</v>
      </c>
      <c r="U48" t="s">
        <v>52</v>
      </c>
      <c r="V48" t="s">
        <v>53</v>
      </c>
      <c r="W48">
        <v>10</v>
      </c>
      <c r="X48">
        <v>10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J48">
        <v>9</v>
      </c>
      <c r="AK48">
        <v>0</v>
      </c>
      <c r="AL48">
        <v>0.1</v>
      </c>
      <c r="AN48">
        <v>0</v>
      </c>
      <c r="AO48" s="3">
        <v>0</v>
      </c>
      <c r="AP48">
        <v>9</v>
      </c>
      <c r="AQ48">
        <v>9</v>
      </c>
      <c r="AR48">
        <f>(Table2[[#This Row],[Tx_Arm_Patinet_Withdrawal_Consent]]+Table2[[#This Row],[Tx_am_lost_fu]]+Table2[[#This Row],[Tx_arm_noncomp]])/Table2[[#This Row],[Tx_arm_randomized_to_tx]]</f>
        <v>1</v>
      </c>
      <c r="AS48">
        <v>1</v>
      </c>
      <c r="AT48">
        <v>0</v>
      </c>
      <c r="AU48">
        <v>0</v>
      </c>
      <c r="AV48">
        <v>1</v>
      </c>
      <c r="AW48">
        <f>(Table2[[#This Row],[Cr_arm_patient_withdrawal_consent]]+Table2[[#This Row],[Cr_arm_lost_fu]]+Table2[[#This Row],[Cr_am_noncomp]])/Table2[[#This Row],[Cr_am_total_randomized+patients]]</f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54</v>
      </c>
      <c r="BI48" t="s">
        <v>63</v>
      </c>
    </row>
    <row r="49" spans="1:61" x14ac:dyDescent="0.2">
      <c r="A49" s="5" t="s">
        <v>209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48</v>
      </c>
      <c r="N49">
        <v>1</v>
      </c>
      <c r="O49">
        <v>1.830555555555555</v>
      </c>
      <c r="P49" t="s">
        <v>50</v>
      </c>
      <c r="Q49" t="s">
        <v>50</v>
      </c>
      <c r="R49">
        <v>2</v>
      </c>
      <c r="S49">
        <v>0</v>
      </c>
      <c r="T49" t="s">
        <v>51</v>
      </c>
      <c r="U49" t="s">
        <v>52</v>
      </c>
      <c r="V49" t="s">
        <v>53</v>
      </c>
      <c r="W49">
        <v>74</v>
      </c>
      <c r="X49">
        <v>48</v>
      </c>
      <c r="Y49">
        <v>0.64864864864864868</v>
      </c>
      <c r="Z49">
        <v>5</v>
      </c>
      <c r="AA49">
        <v>8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J49">
        <v>31</v>
      </c>
      <c r="AK49">
        <v>0</v>
      </c>
      <c r="AL49">
        <v>6.7567567567567571E-2</v>
      </c>
      <c r="AM49" t="s">
        <v>384</v>
      </c>
      <c r="AN49">
        <v>5</v>
      </c>
      <c r="AO49" s="3">
        <v>0</v>
      </c>
      <c r="AP49">
        <v>26</v>
      </c>
      <c r="AQ49">
        <v>39</v>
      </c>
      <c r="AR49" s="8">
        <f>(Table2[[#This Row],[Tx_Arm_Patinet_Withdrawal_Consent]]+Table2[[#This Row],[Tx_am_lost_fu]]+Table2[[#This Row],[Tx_arm_noncomp]])/Table2[[#This Row],[Tx_arm_randomized_to_tx]]</f>
        <v>0.79487179487179482</v>
      </c>
      <c r="AS49">
        <v>0</v>
      </c>
      <c r="AT49">
        <v>0</v>
      </c>
      <c r="AU49">
        <v>0</v>
      </c>
      <c r="AV49">
        <v>34</v>
      </c>
      <c r="AW49" s="8">
        <f>(Table2[[#This Row],[Cr_arm_patient_withdrawal_consent]]+Table2[[#This Row],[Cr_arm_lost_fu]]+Table2[[#This Row],[Cr_am_noncomp]])/Table2[[#This Row],[Cr_am_total_randomized+patients]]</f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54</v>
      </c>
      <c r="BI49" t="s">
        <v>54</v>
      </c>
    </row>
    <row r="50" spans="1:61" x14ac:dyDescent="0.2">
      <c r="A50" s="5" t="s">
        <v>200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 t="s">
        <v>69</v>
      </c>
      <c r="N50">
        <v>0</v>
      </c>
      <c r="O50">
        <v>2.697222222222222</v>
      </c>
      <c r="P50" t="s">
        <v>61</v>
      </c>
      <c r="Q50" t="s">
        <v>50</v>
      </c>
      <c r="R50">
        <v>3</v>
      </c>
      <c r="S50">
        <v>0</v>
      </c>
      <c r="T50" t="s">
        <v>51</v>
      </c>
      <c r="U50" t="s">
        <v>52</v>
      </c>
      <c r="V50" t="s">
        <v>73</v>
      </c>
      <c r="W50">
        <v>85</v>
      </c>
      <c r="X50">
        <v>63</v>
      </c>
      <c r="Y50">
        <v>0.74117647058823533</v>
      </c>
      <c r="Z50">
        <v>5</v>
      </c>
      <c r="AA50">
        <v>12</v>
      </c>
      <c r="AB50">
        <v>36</v>
      </c>
      <c r="AC50">
        <v>0</v>
      </c>
      <c r="AD50">
        <v>0</v>
      </c>
      <c r="AE50">
        <v>2</v>
      </c>
      <c r="AF50">
        <v>1</v>
      </c>
      <c r="AG50">
        <v>0</v>
      </c>
      <c r="AH50">
        <v>0</v>
      </c>
      <c r="AJ50">
        <v>7</v>
      </c>
      <c r="AK50">
        <v>0</v>
      </c>
      <c r="AL50">
        <v>7.0588235294117646E-2</v>
      </c>
      <c r="AM50" t="s">
        <v>384</v>
      </c>
      <c r="AN50">
        <v>5</v>
      </c>
      <c r="AQ50">
        <v>71</v>
      </c>
      <c r="AR50" s="8">
        <f>(Table2[[#This Row],[Tx_Arm_Patinet_Withdrawal_Consent]]+Table2[[#This Row],[Tx_am_lost_fu]]+Table2[[#This Row],[Tx_arm_noncomp]])/Table2[[#This Row],[Tx_arm_randomized_to_tx]]</f>
        <v>7.0422535211267609E-2</v>
      </c>
      <c r="AS50" t="s">
        <v>373</v>
      </c>
      <c r="AT50" t="s">
        <v>373</v>
      </c>
      <c r="AU50" t="s">
        <v>373</v>
      </c>
      <c r="AV50" t="s">
        <v>373</v>
      </c>
      <c r="AW50" s="8" t="e">
        <f>(Table2[[#This Row],[Cr_arm_patient_withdrawal_consent]]+Table2[[#This Row],[Cr_arm_lost_fu]]+Table2[[#This Row],[Cr_am_noncomp]])/Table2[[#This Row],[Cr_am_total_randomized+patients]]</f>
        <v>#VALUE!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54</v>
      </c>
      <c r="BI50" t="s">
        <v>54</v>
      </c>
    </row>
    <row r="51" spans="1:61" x14ac:dyDescent="0.2">
      <c r="A51" t="s">
        <v>107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48</v>
      </c>
      <c r="N51">
        <v>1</v>
      </c>
      <c r="O51">
        <v>2.4750000000000001</v>
      </c>
      <c r="P51" t="s">
        <v>50</v>
      </c>
      <c r="Q51" t="s">
        <v>50</v>
      </c>
      <c r="R51">
        <v>1</v>
      </c>
      <c r="S51">
        <v>1</v>
      </c>
      <c r="T51" t="s">
        <v>65</v>
      </c>
      <c r="U51" t="s">
        <v>52</v>
      </c>
      <c r="V51" t="s">
        <v>53</v>
      </c>
      <c r="W51">
        <v>749</v>
      </c>
      <c r="X51">
        <v>616</v>
      </c>
      <c r="Y51">
        <v>0.82242990654205606</v>
      </c>
      <c r="Z51">
        <v>81</v>
      </c>
      <c r="AA51">
        <v>154</v>
      </c>
      <c r="AB51">
        <v>0</v>
      </c>
      <c r="AC51">
        <v>0</v>
      </c>
      <c r="AD51">
        <v>0</v>
      </c>
      <c r="AE51">
        <v>0</v>
      </c>
      <c r="AF51">
        <v>22</v>
      </c>
      <c r="AG51">
        <v>6</v>
      </c>
      <c r="AH51">
        <v>0</v>
      </c>
      <c r="AI51">
        <v>340</v>
      </c>
      <c r="AJ51">
        <v>13</v>
      </c>
      <c r="AK51">
        <v>0</v>
      </c>
      <c r="AL51">
        <v>0.13751668891855809</v>
      </c>
      <c r="AN51">
        <v>22</v>
      </c>
      <c r="AO51" s="3">
        <v>0</v>
      </c>
      <c r="AQ51">
        <v>374</v>
      </c>
      <c r="AR51">
        <f>(Table2[[#This Row],[Tx_Arm_Patinet_Withdrawal_Consent]]+Table2[[#This Row],[Tx_am_lost_fu]]+Table2[[#This Row],[Tx_arm_noncomp]])/Table2[[#This Row],[Tx_arm_randomized_to_tx]]</f>
        <v>5.8823529411764705E-2</v>
      </c>
      <c r="AS51">
        <v>59</v>
      </c>
      <c r="AV51">
        <v>375</v>
      </c>
      <c r="AW51">
        <f>(Table2[[#This Row],[Cr_arm_patient_withdrawal_consent]]+Table2[[#This Row],[Cr_arm_lost_fu]]+Table2[[#This Row],[Cr_am_noncomp]])/Table2[[#This Row],[Cr_am_total_randomized+patients]]</f>
        <v>0.15733333333333333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1</v>
      </c>
      <c r="BH51" t="s">
        <v>54</v>
      </c>
      <c r="BI51" t="s">
        <v>54</v>
      </c>
    </row>
    <row r="52" spans="1:61" x14ac:dyDescent="0.2">
      <c r="A52" t="s">
        <v>58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48</v>
      </c>
      <c r="N52">
        <v>1</v>
      </c>
      <c r="O52">
        <v>0.43055555555555558</v>
      </c>
      <c r="P52" t="s">
        <v>50</v>
      </c>
      <c r="Q52" t="s">
        <v>50</v>
      </c>
      <c r="R52">
        <v>2</v>
      </c>
      <c r="S52">
        <v>0</v>
      </c>
      <c r="T52" t="s">
        <v>51</v>
      </c>
      <c r="U52" t="s">
        <v>52</v>
      </c>
      <c r="V52" t="s">
        <v>53</v>
      </c>
      <c r="W52">
        <v>579</v>
      </c>
      <c r="X52">
        <v>579</v>
      </c>
      <c r="Y52">
        <v>1</v>
      </c>
      <c r="Z52">
        <v>53</v>
      </c>
      <c r="AA52">
        <v>3</v>
      </c>
      <c r="AB52">
        <v>5</v>
      </c>
      <c r="AC52">
        <v>1</v>
      </c>
      <c r="AD52">
        <v>0</v>
      </c>
      <c r="AE52">
        <v>0</v>
      </c>
      <c r="AF52">
        <v>114</v>
      </c>
      <c r="AG52">
        <v>298</v>
      </c>
      <c r="AH52">
        <v>25</v>
      </c>
      <c r="AJ52">
        <v>80</v>
      </c>
      <c r="AK52">
        <v>0</v>
      </c>
      <c r="AL52">
        <v>0.33160621761658032</v>
      </c>
      <c r="AN52">
        <v>36</v>
      </c>
      <c r="AO52" s="3">
        <v>0</v>
      </c>
      <c r="AQ52">
        <v>416</v>
      </c>
      <c r="AR52">
        <f>(Table2[[#This Row],[Tx_Arm_Patinet_Withdrawal_Consent]]+Table2[[#This Row],[Tx_am_lost_fu]]+Table2[[#This Row],[Tx_arm_noncomp]])/Table2[[#This Row],[Tx_arm_randomized_to_tx]]</f>
        <v>8.6538461538461536E-2</v>
      </c>
      <c r="AS52">
        <v>17</v>
      </c>
      <c r="AV52">
        <v>163</v>
      </c>
      <c r="AW52">
        <f>(Table2[[#This Row],[Cr_arm_patient_withdrawal_consent]]+Table2[[#This Row],[Cr_arm_lost_fu]]+Table2[[#This Row],[Cr_am_noncomp]])/Table2[[#This Row],[Cr_am_total_randomized+patients]]</f>
        <v>0.10429447852760736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54</v>
      </c>
      <c r="BI52" t="s">
        <v>54</v>
      </c>
    </row>
    <row r="53" spans="1:61" x14ac:dyDescent="0.2">
      <c r="A53" t="s">
        <v>142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 t="s">
        <v>48</v>
      </c>
      <c r="N53">
        <v>1</v>
      </c>
      <c r="O53">
        <v>5.177777777777778</v>
      </c>
      <c r="P53" t="s">
        <v>56</v>
      </c>
      <c r="Q53" t="s">
        <v>50</v>
      </c>
      <c r="R53">
        <v>2</v>
      </c>
      <c r="S53">
        <v>0</v>
      </c>
      <c r="T53" t="s">
        <v>51</v>
      </c>
      <c r="U53" t="s">
        <v>52</v>
      </c>
      <c r="V53" t="s">
        <v>53</v>
      </c>
      <c r="W53">
        <v>20</v>
      </c>
      <c r="X53">
        <v>17</v>
      </c>
      <c r="Y53">
        <v>0.85</v>
      </c>
      <c r="Z53">
        <v>2</v>
      </c>
      <c r="AA53">
        <v>1</v>
      </c>
      <c r="AB53">
        <v>10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J53">
        <v>4</v>
      </c>
      <c r="AK53">
        <v>0</v>
      </c>
      <c r="AL53">
        <v>0.1</v>
      </c>
      <c r="AN53">
        <v>1</v>
      </c>
      <c r="AO53" s="3">
        <v>0</v>
      </c>
      <c r="AQ53">
        <v>10</v>
      </c>
      <c r="AR53">
        <f>(Table2[[#This Row],[Tx_Arm_Patinet_Withdrawal_Consent]]+Table2[[#This Row],[Tx_am_lost_fu]]+Table2[[#This Row],[Tx_arm_noncomp]])/Table2[[#This Row],[Tx_arm_randomized_to_tx]]</f>
        <v>0.1</v>
      </c>
      <c r="AS53">
        <v>1</v>
      </c>
      <c r="AV53">
        <v>10</v>
      </c>
      <c r="AW53">
        <f>(Table2[[#This Row],[Cr_arm_patient_withdrawal_consent]]+Table2[[#This Row],[Cr_arm_lost_fu]]+Table2[[#This Row],[Cr_am_noncomp]])/Table2[[#This Row],[Cr_am_total_randomized+patients]]</f>
        <v>0.1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54</v>
      </c>
      <c r="BI53" t="s">
        <v>54</v>
      </c>
    </row>
    <row r="54" spans="1:61" x14ac:dyDescent="0.2">
      <c r="A54" t="s">
        <v>331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48</v>
      </c>
      <c r="N54">
        <v>1</v>
      </c>
      <c r="O54">
        <v>0.2361111111111111</v>
      </c>
      <c r="P54" t="s">
        <v>50</v>
      </c>
      <c r="Q54" t="s">
        <v>50</v>
      </c>
      <c r="R54">
        <v>2</v>
      </c>
      <c r="S54">
        <v>0</v>
      </c>
      <c r="T54" t="s">
        <v>51</v>
      </c>
      <c r="U54" t="s">
        <v>52</v>
      </c>
      <c r="V54" t="s">
        <v>53</v>
      </c>
      <c r="W54">
        <v>568</v>
      </c>
      <c r="X54">
        <v>568</v>
      </c>
      <c r="Y54">
        <v>1</v>
      </c>
      <c r="Z54">
        <v>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179</v>
      </c>
      <c r="AG54">
        <v>383</v>
      </c>
      <c r="AH54">
        <v>0</v>
      </c>
      <c r="AJ54">
        <v>2</v>
      </c>
      <c r="AK54">
        <v>0</v>
      </c>
      <c r="AL54">
        <v>0.32218309859154931</v>
      </c>
      <c r="AN54">
        <v>6</v>
      </c>
      <c r="AO54" s="3">
        <v>0</v>
      </c>
      <c r="AQ54">
        <v>284</v>
      </c>
      <c r="AR54">
        <f>(Table2[[#This Row],[Tx_Arm_Patinet_Withdrawal_Consent]]+Table2[[#This Row],[Tx_am_lost_fu]]+Table2[[#This Row],[Tx_arm_noncomp]])/Table2[[#This Row],[Tx_arm_randomized_to_tx]]</f>
        <v>2.1126760563380281E-2</v>
      </c>
      <c r="AS54">
        <v>6</v>
      </c>
      <c r="AV54">
        <v>284</v>
      </c>
      <c r="AW54">
        <f>(Table2[[#This Row],[Cr_arm_patient_withdrawal_consent]]+Table2[[#This Row],[Cr_arm_lost_fu]]+Table2[[#This Row],[Cr_am_noncomp]])/Table2[[#This Row],[Cr_am_total_randomized+patients]]</f>
        <v>2.1126760563380281E-2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57</v>
      </c>
      <c r="BI54" t="s">
        <v>63</v>
      </c>
    </row>
    <row r="55" spans="1:61" x14ac:dyDescent="0.2">
      <c r="A55" t="s">
        <v>138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 t="s">
        <v>48</v>
      </c>
      <c r="N55">
        <v>1</v>
      </c>
      <c r="O55">
        <v>2.0583333333333331</v>
      </c>
      <c r="P55" t="s">
        <v>56</v>
      </c>
      <c r="Q55" t="s">
        <v>56</v>
      </c>
      <c r="R55">
        <v>1</v>
      </c>
      <c r="S55">
        <v>1</v>
      </c>
      <c r="T55" t="s">
        <v>51</v>
      </c>
      <c r="U55" t="s">
        <v>52</v>
      </c>
      <c r="V55" t="s">
        <v>53</v>
      </c>
      <c r="W55">
        <v>627</v>
      </c>
      <c r="X55">
        <v>485</v>
      </c>
      <c r="Y55">
        <v>0.77352472089314195</v>
      </c>
      <c r="Z55">
        <v>49</v>
      </c>
      <c r="AA55">
        <v>72</v>
      </c>
      <c r="AB55">
        <v>280</v>
      </c>
      <c r="AC55">
        <v>0</v>
      </c>
      <c r="AD55">
        <v>0</v>
      </c>
      <c r="AE55">
        <v>28</v>
      </c>
      <c r="AF55">
        <v>2</v>
      </c>
      <c r="AG55">
        <v>40</v>
      </c>
      <c r="AH55">
        <v>13</v>
      </c>
      <c r="AJ55">
        <v>1</v>
      </c>
      <c r="AK55">
        <v>0</v>
      </c>
      <c r="AL55">
        <v>0.10207336523125997</v>
      </c>
      <c r="AN55">
        <v>27</v>
      </c>
      <c r="AO55" s="3">
        <v>0</v>
      </c>
      <c r="AQ55">
        <v>315</v>
      </c>
      <c r="AR55">
        <f>(Table2[[#This Row],[Tx_Arm_Patinet_Withdrawal_Consent]]+Table2[[#This Row],[Tx_am_lost_fu]]+Table2[[#This Row],[Tx_arm_noncomp]])/Table2[[#This Row],[Tx_arm_randomized_to_tx]]</f>
        <v>8.5714285714285715E-2</v>
      </c>
      <c r="AS55">
        <v>22</v>
      </c>
      <c r="AV55">
        <v>312</v>
      </c>
      <c r="AW55">
        <f>(Table2[[#This Row],[Cr_arm_patient_withdrawal_consent]]+Table2[[#This Row],[Cr_arm_lost_fu]]+Table2[[#This Row],[Cr_am_noncomp]])/Table2[[#This Row],[Cr_am_total_randomized+patients]]</f>
        <v>7.0512820512820512E-2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54</v>
      </c>
      <c r="BI55" t="s">
        <v>54</v>
      </c>
    </row>
    <row r="56" spans="1:61" x14ac:dyDescent="0.2">
      <c r="A56" t="s">
        <v>173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48</v>
      </c>
      <c r="N56">
        <v>1</v>
      </c>
      <c r="O56">
        <v>5.177777777777778</v>
      </c>
      <c r="P56" t="s">
        <v>56</v>
      </c>
      <c r="Q56" t="s">
        <v>50</v>
      </c>
      <c r="R56">
        <v>2</v>
      </c>
      <c r="S56">
        <v>0</v>
      </c>
      <c r="T56" t="s">
        <v>51</v>
      </c>
      <c r="U56" t="s">
        <v>52</v>
      </c>
      <c r="V56" t="s">
        <v>53</v>
      </c>
      <c r="W56">
        <v>126</v>
      </c>
      <c r="X56">
        <v>75</v>
      </c>
      <c r="Y56">
        <v>0.59523809523809523</v>
      </c>
      <c r="Z56">
        <v>9</v>
      </c>
      <c r="AA56">
        <v>16</v>
      </c>
      <c r="AB56">
        <v>40</v>
      </c>
      <c r="AC56">
        <v>0</v>
      </c>
      <c r="AD56">
        <v>0</v>
      </c>
      <c r="AE56">
        <v>7</v>
      </c>
      <c r="AF56">
        <v>1</v>
      </c>
      <c r="AG56">
        <v>0</v>
      </c>
      <c r="AH56">
        <v>0</v>
      </c>
      <c r="AJ56">
        <v>2</v>
      </c>
      <c r="AK56">
        <v>0</v>
      </c>
      <c r="AL56">
        <v>7.9365079365079361E-2</v>
      </c>
      <c r="AN56">
        <v>0</v>
      </c>
      <c r="AO56" s="3">
        <v>0</v>
      </c>
      <c r="AP56">
        <v>3</v>
      </c>
      <c r="AQ56">
        <v>82</v>
      </c>
      <c r="AR56">
        <f>(Table2[[#This Row],[Tx_Arm_Patinet_Withdrawal_Consent]]+Table2[[#This Row],[Tx_am_lost_fu]]+Table2[[#This Row],[Tx_arm_noncomp]])/Table2[[#This Row],[Tx_arm_randomized_to_tx]]</f>
        <v>3.6585365853658534E-2</v>
      </c>
      <c r="AS56">
        <v>0</v>
      </c>
      <c r="AU56">
        <v>4</v>
      </c>
      <c r="AV56">
        <v>44</v>
      </c>
      <c r="AW56">
        <f>(Table2[[#This Row],[Cr_arm_patient_withdrawal_consent]]+Table2[[#This Row],[Cr_arm_lost_fu]]+Table2[[#This Row],[Cr_am_noncomp]])/Table2[[#This Row],[Cr_am_total_randomized+patients]]</f>
        <v>9.0909090909090912E-2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54</v>
      </c>
      <c r="BI56" t="s">
        <v>57</v>
      </c>
    </row>
    <row r="57" spans="1:61" x14ac:dyDescent="0.2">
      <c r="A57" t="s">
        <v>261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 t="s">
        <v>48</v>
      </c>
      <c r="N57">
        <v>1</v>
      </c>
      <c r="O57">
        <v>0.4</v>
      </c>
      <c r="P57" t="s">
        <v>56</v>
      </c>
      <c r="Q57" t="s">
        <v>56</v>
      </c>
      <c r="R57">
        <v>1</v>
      </c>
      <c r="S57">
        <v>1</v>
      </c>
      <c r="T57" t="s">
        <v>51</v>
      </c>
      <c r="U57" t="s">
        <v>52</v>
      </c>
      <c r="V57" t="s">
        <v>53</v>
      </c>
      <c r="W57">
        <v>522</v>
      </c>
      <c r="X57">
        <v>522</v>
      </c>
      <c r="Y57">
        <v>1</v>
      </c>
      <c r="Z57" s="6">
        <v>20</v>
      </c>
      <c r="AA57" s="6">
        <v>37</v>
      </c>
      <c r="AB57" s="6">
        <v>226</v>
      </c>
      <c r="AC57" s="6">
        <v>0</v>
      </c>
      <c r="AD57" s="6">
        <v>0</v>
      </c>
      <c r="AE57" s="6">
        <v>0</v>
      </c>
      <c r="AF57" s="6">
        <v>0</v>
      </c>
      <c r="AG57" s="6">
        <v>1</v>
      </c>
      <c r="AH57" s="6">
        <v>6</v>
      </c>
      <c r="AI57" s="6"/>
      <c r="AJ57" s="6">
        <v>1</v>
      </c>
      <c r="AK57" s="6">
        <v>0</v>
      </c>
      <c r="AL57">
        <v>4.9808429118773943E-2</v>
      </c>
      <c r="AN57">
        <v>10</v>
      </c>
      <c r="AO57" s="3">
        <v>0</v>
      </c>
      <c r="AQ57">
        <v>263</v>
      </c>
      <c r="AR57">
        <f>(Table2[[#This Row],[Tx_Arm_Patinet_Withdrawal_Consent]]+Table2[[#This Row],[Tx_am_lost_fu]]+Table2[[#This Row],[Tx_arm_noncomp]])/Table2[[#This Row],[Tx_arm_randomized_to_tx]]</f>
        <v>3.8022813688212927E-2</v>
      </c>
      <c r="AS57">
        <v>10</v>
      </c>
      <c r="AV57">
        <v>259</v>
      </c>
      <c r="AW57">
        <f>(Table2[[#This Row],[Cr_arm_patient_withdrawal_consent]]+Table2[[#This Row],[Cr_arm_lost_fu]]+Table2[[#This Row],[Cr_am_noncomp]])/Table2[[#This Row],[Cr_am_total_randomized+patients]]</f>
        <v>3.8610038610038609E-2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 t="s">
        <v>54</v>
      </c>
      <c r="BI57" t="s">
        <v>54</v>
      </c>
    </row>
    <row r="58" spans="1:61" x14ac:dyDescent="0.2">
      <c r="A58" t="s">
        <v>75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48</v>
      </c>
      <c r="N58">
        <v>1</v>
      </c>
      <c r="O58">
        <v>3.1222222222222218</v>
      </c>
      <c r="P58" t="s">
        <v>56</v>
      </c>
      <c r="Q58" t="s">
        <v>56</v>
      </c>
      <c r="R58">
        <v>2</v>
      </c>
      <c r="S58">
        <v>0</v>
      </c>
      <c r="T58" t="s">
        <v>51</v>
      </c>
      <c r="U58" t="s">
        <v>52</v>
      </c>
      <c r="V58" t="s">
        <v>53</v>
      </c>
      <c r="W58">
        <v>608</v>
      </c>
      <c r="X58">
        <v>573</v>
      </c>
      <c r="Y58">
        <v>0.94243421052631582</v>
      </c>
      <c r="Z58">
        <v>112</v>
      </c>
      <c r="AA58">
        <v>24</v>
      </c>
      <c r="AB58">
        <v>230</v>
      </c>
      <c r="AC58">
        <v>0</v>
      </c>
      <c r="AD58">
        <v>0</v>
      </c>
      <c r="AE58">
        <v>0</v>
      </c>
      <c r="AF58">
        <v>6</v>
      </c>
      <c r="AG58">
        <v>194</v>
      </c>
      <c r="AH58">
        <v>4</v>
      </c>
      <c r="AJ58">
        <v>3</v>
      </c>
      <c r="AK58">
        <v>0</v>
      </c>
      <c r="AL58">
        <v>0.20065789473684212</v>
      </c>
      <c r="AN58">
        <v>43</v>
      </c>
      <c r="AO58" s="3">
        <v>0</v>
      </c>
      <c r="AQ58">
        <v>304</v>
      </c>
      <c r="AR58">
        <f>(Table2[[#This Row],[Tx_Arm_Patinet_Withdrawal_Consent]]+Table2[[#This Row],[Tx_am_lost_fu]]+Table2[[#This Row],[Tx_arm_noncomp]])/Table2[[#This Row],[Tx_arm_randomized_to_tx]]</f>
        <v>0.14144736842105263</v>
      </c>
      <c r="AS58">
        <v>69</v>
      </c>
      <c r="AV58">
        <v>304</v>
      </c>
      <c r="AW58">
        <f>(Table2[[#This Row],[Cr_arm_patient_withdrawal_consent]]+Table2[[#This Row],[Cr_arm_lost_fu]]+Table2[[#This Row],[Cr_am_noncomp]])/Table2[[#This Row],[Cr_am_total_randomized+patients]]</f>
        <v>0.22697368421052633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54</v>
      </c>
      <c r="BI58" t="s">
        <v>54</v>
      </c>
    </row>
    <row r="59" spans="1:61" x14ac:dyDescent="0.2">
      <c r="A59" t="s">
        <v>342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48</v>
      </c>
      <c r="N59">
        <v>1</v>
      </c>
      <c r="O59">
        <v>0.18055555555555561</v>
      </c>
      <c r="P59" t="s">
        <v>50</v>
      </c>
      <c r="Q59" t="s">
        <v>50</v>
      </c>
      <c r="R59">
        <v>1</v>
      </c>
      <c r="S59">
        <v>1</v>
      </c>
      <c r="T59" t="s">
        <v>51</v>
      </c>
      <c r="U59" t="s">
        <v>52</v>
      </c>
      <c r="V59" t="s">
        <v>53</v>
      </c>
      <c r="W59">
        <v>333</v>
      </c>
      <c r="X59">
        <v>76</v>
      </c>
      <c r="Y59">
        <v>0.22822822822822822</v>
      </c>
      <c r="Z59">
        <v>24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</v>
      </c>
      <c r="AG59">
        <v>41</v>
      </c>
      <c r="AH59">
        <v>8</v>
      </c>
      <c r="AJ59">
        <v>0</v>
      </c>
      <c r="AK59">
        <v>0</v>
      </c>
      <c r="AL59">
        <v>0.10510510510510511</v>
      </c>
      <c r="AN59">
        <v>1</v>
      </c>
      <c r="AO59" s="3">
        <v>0</v>
      </c>
      <c r="AQ59">
        <v>165</v>
      </c>
      <c r="AR59">
        <f>(Table2[[#This Row],[Tx_Arm_Patinet_Withdrawal_Consent]]+Table2[[#This Row],[Tx_am_lost_fu]]+Table2[[#This Row],[Tx_arm_noncomp]])/Table2[[#This Row],[Tx_arm_randomized_to_tx]]</f>
        <v>6.0606060606060606E-3</v>
      </c>
      <c r="AS59">
        <v>6</v>
      </c>
      <c r="AV59">
        <v>168</v>
      </c>
      <c r="AW59">
        <f>(Table2[[#This Row],[Cr_arm_patient_withdrawal_consent]]+Table2[[#This Row],[Cr_arm_lost_fu]]+Table2[[#This Row],[Cr_am_noncomp]])/Table2[[#This Row],[Cr_am_total_randomized+patients]]</f>
        <v>3.5714285714285712E-2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54</v>
      </c>
      <c r="BI59" t="s">
        <v>54</v>
      </c>
    </row>
    <row r="60" spans="1:61" x14ac:dyDescent="0.2">
      <c r="A60" t="s">
        <v>336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69</v>
      </c>
      <c r="N60">
        <v>0</v>
      </c>
      <c r="O60">
        <v>0.48888888888888887</v>
      </c>
      <c r="P60" t="s">
        <v>56</v>
      </c>
      <c r="Q60" t="s">
        <v>56</v>
      </c>
      <c r="R60">
        <v>1</v>
      </c>
      <c r="S60">
        <v>1</v>
      </c>
      <c r="T60" t="s">
        <v>51</v>
      </c>
      <c r="U60" t="s">
        <v>52</v>
      </c>
      <c r="V60" t="s">
        <v>53</v>
      </c>
      <c r="W60">
        <v>400</v>
      </c>
      <c r="X60">
        <v>362</v>
      </c>
      <c r="Y60">
        <v>0.90500000000000003</v>
      </c>
      <c r="Z60">
        <v>19</v>
      </c>
      <c r="AA60">
        <v>28</v>
      </c>
      <c r="AB60">
        <v>274</v>
      </c>
      <c r="AC60">
        <v>21</v>
      </c>
      <c r="AD60">
        <v>0</v>
      </c>
      <c r="AE60">
        <v>1</v>
      </c>
      <c r="AF60">
        <v>0</v>
      </c>
      <c r="AG60">
        <v>3</v>
      </c>
      <c r="AH60">
        <v>1</v>
      </c>
      <c r="AJ60">
        <v>15</v>
      </c>
      <c r="AK60">
        <v>0</v>
      </c>
      <c r="AL60">
        <v>0.05</v>
      </c>
      <c r="AN60">
        <v>9</v>
      </c>
      <c r="AO60" s="3">
        <v>0</v>
      </c>
      <c r="AQ60">
        <v>400</v>
      </c>
      <c r="AR60">
        <f>(Table2[[#This Row],[Tx_Arm_Patinet_Withdrawal_Consent]]+Table2[[#This Row],[Tx_am_lost_fu]]+Table2[[#This Row],[Tx_arm_noncomp]])/Table2[[#This Row],[Tx_arm_randomized_to_tx]]</f>
        <v>2.2499999999999999E-2</v>
      </c>
      <c r="AS60" t="s">
        <v>373</v>
      </c>
      <c r="AT60" t="s">
        <v>373</v>
      </c>
      <c r="AU60" t="s">
        <v>373</v>
      </c>
      <c r="AV60" t="s">
        <v>373</v>
      </c>
      <c r="AW60" t="e">
        <f>(Table2[[#This Row],[Cr_arm_patient_withdrawal_consent]]+Table2[[#This Row],[Cr_arm_lost_fu]]+Table2[[#This Row],[Cr_am_noncomp]])/Table2[[#This Row],[Cr_am_total_randomized+patients]]</f>
        <v>#VALUE!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54</v>
      </c>
      <c r="BI60" t="s">
        <v>63</v>
      </c>
    </row>
    <row r="61" spans="1:61" x14ac:dyDescent="0.2">
      <c r="A61" t="s">
        <v>116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 t="s">
        <v>48</v>
      </c>
      <c r="N61">
        <v>1</v>
      </c>
      <c r="O61">
        <v>0.34444444444444439</v>
      </c>
      <c r="P61" t="s">
        <v>50</v>
      </c>
      <c r="Q61" t="s">
        <v>50</v>
      </c>
      <c r="R61">
        <v>1</v>
      </c>
      <c r="S61">
        <v>1</v>
      </c>
      <c r="T61" t="s">
        <v>51</v>
      </c>
      <c r="U61" t="s">
        <v>52</v>
      </c>
      <c r="V61" t="s">
        <v>53</v>
      </c>
      <c r="W61">
        <v>453</v>
      </c>
      <c r="X61">
        <v>453</v>
      </c>
      <c r="Y61">
        <v>1</v>
      </c>
      <c r="Z61">
        <v>42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363</v>
      </c>
      <c r="AH61">
        <v>12</v>
      </c>
      <c r="AJ61">
        <v>35</v>
      </c>
      <c r="AK61">
        <v>0</v>
      </c>
      <c r="AL61">
        <v>0.12141280353200883</v>
      </c>
      <c r="AN61">
        <v>26</v>
      </c>
      <c r="AO61" s="3">
        <v>0</v>
      </c>
      <c r="AQ61">
        <v>302</v>
      </c>
      <c r="AR61">
        <f>(Table2[[#This Row],[Tx_Arm_Patinet_Withdrawal_Consent]]+Table2[[#This Row],[Tx_am_lost_fu]]+Table2[[#This Row],[Tx_arm_noncomp]])/Table2[[#This Row],[Tx_arm_randomized_to_tx]]</f>
        <v>8.6092715231788075E-2</v>
      </c>
      <c r="AS61">
        <v>16</v>
      </c>
      <c r="AV61">
        <v>151</v>
      </c>
      <c r="AW61">
        <f>(Table2[[#This Row],[Cr_arm_patient_withdrawal_consent]]+Table2[[#This Row],[Cr_arm_lost_fu]]+Table2[[#This Row],[Cr_am_noncomp]])/Table2[[#This Row],[Cr_am_total_randomized+patients]]</f>
        <v>0.10596026490066225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54</v>
      </c>
      <c r="BI61" t="s">
        <v>54</v>
      </c>
    </row>
    <row r="62" spans="1:61" x14ac:dyDescent="0.2">
      <c r="A62" t="s">
        <v>363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 t="s">
        <v>48</v>
      </c>
      <c r="N62">
        <v>1</v>
      </c>
      <c r="O62">
        <v>2.994444444444444</v>
      </c>
      <c r="P62" t="s">
        <v>50</v>
      </c>
      <c r="Q62" t="s">
        <v>50</v>
      </c>
      <c r="R62">
        <v>2</v>
      </c>
      <c r="S62">
        <v>0</v>
      </c>
      <c r="T62" t="s">
        <v>51</v>
      </c>
      <c r="U62" t="s">
        <v>52</v>
      </c>
      <c r="V62" t="s">
        <v>53</v>
      </c>
      <c r="W62">
        <v>749</v>
      </c>
      <c r="X62">
        <v>749</v>
      </c>
      <c r="Y62">
        <v>1</v>
      </c>
      <c r="Z62">
        <v>10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686</v>
      </c>
      <c r="AH62">
        <v>0</v>
      </c>
      <c r="AJ62">
        <v>0</v>
      </c>
      <c r="AK62">
        <v>52</v>
      </c>
      <c r="AL62">
        <v>1.4686248331108143E-2</v>
      </c>
      <c r="AN62">
        <v>7</v>
      </c>
      <c r="AO62" s="3">
        <v>0</v>
      </c>
      <c r="AQ62">
        <v>373</v>
      </c>
      <c r="AR62">
        <f>(Table2[[#This Row],[Tx_Arm_Patinet_Withdrawal_Consent]]+Table2[[#This Row],[Tx_am_lost_fu]]+Table2[[#This Row],[Tx_arm_noncomp]])/Table2[[#This Row],[Tx_arm_randomized_to_tx]]</f>
        <v>1.876675603217158E-2</v>
      </c>
      <c r="AS62">
        <v>0</v>
      </c>
      <c r="AV62">
        <v>376</v>
      </c>
      <c r="AW62">
        <f>(Table2[[#This Row],[Cr_arm_patient_withdrawal_consent]]+Table2[[#This Row],[Cr_arm_lost_fu]]+Table2[[#This Row],[Cr_am_noncomp]])/Table2[[#This Row],[Cr_am_total_randomized+patients]]</f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54</v>
      </c>
      <c r="BI62" t="s">
        <v>54</v>
      </c>
    </row>
    <row r="63" spans="1:61" x14ac:dyDescent="0.2">
      <c r="A63" t="s">
        <v>81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60</v>
      </c>
      <c r="N63">
        <v>0</v>
      </c>
      <c r="O63">
        <v>10</v>
      </c>
      <c r="P63" t="s">
        <v>56</v>
      </c>
      <c r="Q63" t="s">
        <v>50</v>
      </c>
      <c r="R63">
        <v>2</v>
      </c>
      <c r="S63">
        <v>1</v>
      </c>
      <c r="T63" t="s">
        <v>51</v>
      </c>
      <c r="U63" t="s">
        <v>52</v>
      </c>
      <c r="V63" t="s">
        <v>53</v>
      </c>
      <c r="W63">
        <v>235</v>
      </c>
      <c r="X63">
        <v>235</v>
      </c>
      <c r="Y63">
        <v>1</v>
      </c>
      <c r="Z63">
        <v>16</v>
      </c>
      <c r="AA63">
        <v>23</v>
      </c>
      <c r="AB63">
        <v>155</v>
      </c>
      <c r="AC63">
        <v>6</v>
      </c>
      <c r="AD63">
        <v>17</v>
      </c>
      <c r="AE63">
        <v>10</v>
      </c>
      <c r="AF63">
        <v>0</v>
      </c>
      <c r="AG63">
        <v>3</v>
      </c>
      <c r="AH63">
        <v>3</v>
      </c>
      <c r="AJ63">
        <v>2</v>
      </c>
      <c r="AK63">
        <v>0</v>
      </c>
      <c r="AL63">
        <v>8.085106382978724E-2</v>
      </c>
      <c r="AN63">
        <v>16</v>
      </c>
      <c r="AO63" s="3">
        <v>0</v>
      </c>
      <c r="AQ63">
        <v>234</v>
      </c>
      <c r="AR63">
        <f>(Table2[[#This Row],[Tx_Arm_Patinet_Withdrawal_Consent]]+Table2[[#This Row],[Tx_am_lost_fu]]+Table2[[#This Row],[Tx_arm_noncomp]])/Table2[[#This Row],[Tx_arm_randomized_to_tx]]</f>
        <v>6.8376068376068383E-2</v>
      </c>
      <c r="AS63" t="s">
        <v>373</v>
      </c>
      <c r="AT63" t="s">
        <v>373</v>
      </c>
      <c r="AU63" t="s">
        <v>373</v>
      </c>
      <c r="AV63" t="s">
        <v>374</v>
      </c>
      <c r="AW63" t="e">
        <f>(Table2[[#This Row],[Cr_arm_patient_withdrawal_consent]]+Table2[[#This Row],[Cr_arm_lost_fu]]+Table2[[#This Row],[Cr_am_noncomp]])/Table2[[#This Row],[Cr_am_total_randomized+patients]]</f>
        <v>#VALUE!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54</v>
      </c>
      <c r="BI63" t="s">
        <v>57</v>
      </c>
    </row>
    <row r="64" spans="1:61" x14ac:dyDescent="0.2">
      <c r="A64" t="s">
        <v>185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 t="s">
        <v>48</v>
      </c>
      <c r="N64">
        <v>1</v>
      </c>
      <c r="O64">
        <v>0.15277777777777779</v>
      </c>
      <c r="P64" t="s">
        <v>50</v>
      </c>
      <c r="Q64" t="s">
        <v>50</v>
      </c>
      <c r="R64">
        <v>2</v>
      </c>
      <c r="S64">
        <v>0</v>
      </c>
      <c r="T64" t="s">
        <v>51</v>
      </c>
      <c r="U64" t="s">
        <v>52</v>
      </c>
      <c r="V64" t="s">
        <v>53</v>
      </c>
      <c r="W64">
        <v>466</v>
      </c>
      <c r="X64">
        <v>179</v>
      </c>
      <c r="Y64">
        <v>0.38412017167381973</v>
      </c>
      <c r="Z64">
        <v>30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139</v>
      </c>
      <c r="AH64">
        <v>5</v>
      </c>
      <c r="AJ64">
        <v>5</v>
      </c>
      <c r="AK64">
        <v>0</v>
      </c>
      <c r="AL64">
        <v>7.5107296137339061E-2</v>
      </c>
      <c r="AN64">
        <v>18</v>
      </c>
      <c r="AO64" s="3">
        <v>0</v>
      </c>
      <c r="AP64">
        <v>3</v>
      </c>
      <c r="AQ64">
        <v>312</v>
      </c>
      <c r="AR64">
        <f>(Table2[[#This Row],[Tx_Arm_Patinet_Withdrawal_Consent]]+Table2[[#This Row],[Tx_am_lost_fu]]+Table2[[#This Row],[Tx_arm_noncomp]])/Table2[[#This Row],[Tx_arm_randomized_to_tx]]</f>
        <v>6.7307692307692304E-2</v>
      </c>
      <c r="AS64">
        <v>12</v>
      </c>
      <c r="AU64">
        <v>2</v>
      </c>
      <c r="AV64">
        <v>154</v>
      </c>
      <c r="AW64">
        <f>(Table2[[#This Row],[Cr_arm_patient_withdrawal_consent]]+Table2[[#This Row],[Cr_arm_lost_fu]]+Table2[[#This Row],[Cr_am_noncomp]])/Table2[[#This Row],[Cr_am_total_randomized+patients]]</f>
        <v>9.0909090909090912E-2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57</v>
      </c>
      <c r="BI64" t="s">
        <v>54</v>
      </c>
    </row>
    <row r="65" spans="1:61" x14ac:dyDescent="0.2">
      <c r="A65" t="s">
        <v>66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48</v>
      </c>
      <c r="N65">
        <v>1</v>
      </c>
      <c r="O65">
        <v>2.4750000000000001</v>
      </c>
      <c r="P65" t="s">
        <v>56</v>
      </c>
      <c r="Q65" t="s">
        <v>56</v>
      </c>
      <c r="R65">
        <v>2</v>
      </c>
      <c r="S65">
        <v>0</v>
      </c>
      <c r="T65" t="s">
        <v>51</v>
      </c>
      <c r="U65" t="s">
        <v>52</v>
      </c>
      <c r="V65" t="s">
        <v>53</v>
      </c>
      <c r="W65">
        <v>290</v>
      </c>
      <c r="X65">
        <v>276</v>
      </c>
      <c r="Y65">
        <v>0.9517241379310345</v>
      </c>
      <c r="Z65">
        <v>52</v>
      </c>
      <c r="AA65">
        <v>35</v>
      </c>
      <c r="AB65">
        <v>145</v>
      </c>
      <c r="AC65">
        <v>0</v>
      </c>
      <c r="AD65">
        <v>0</v>
      </c>
      <c r="AE65">
        <v>0</v>
      </c>
      <c r="AF65">
        <v>27</v>
      </c>
      <c r="AG65">
        <v>9</v>
      </c>
      <c r="AH65">
        <v>0</v>
      </c>
      <c r="AJ65">
        <v>8</v>
      </c>
      <c r="AK65">
        <v>0</v>
      </c>
      <c r="AL65">
        <v>0.27241379310344827</v>
      </c>
      <c r="AN65">
        <v>10</v>
      </c>
      <c r="AO65" s="3">
        <v>0</v>
      </c>
      <c r="AQ65">
        <v>145</v>
      </c>
      <c r="AR65">
        <f>(Table2[[#This Row],[Tx_Arm_Patinet_Withdrawal_Consent]]+Table2[[#This Row],[Tx_am_lost_fu]]+Table2[[#This Row],[Tx_arm_noncomp]])/Table2[[#This Row],[Tx_arm_randomized_to_tx]]</f>
        <v>6.8965517241379309E-2</v>
      </c>
      <c r="AS65">
        <v>42</v>
      </c>
      <c r="AV65">
        <v>145</v>
      </c>
      <c r="AW65">
        <f>(Table2[[#This Row],[Cr_arm_patient_withdrawal_consent]]+Table2[[#This Row],[Cr_arm_lost_fu]]+Table2[[#This Row],[Cr_am_noncomp]])/Table2[[#This Row],[Cr_am_total_randomized+patients]]</f>
        <v>0.28965517241379313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 t="s">
        <v>54</v>
      </c>
      <c r="BI65" t="s">
        <v>54</v>
      </c>
    </row>
    <row r="66" spans="1:61" x14ac:dyDescent="0.2">
      <c r="A66" t="s">
        <v>127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48</v>
      </c>
      <c r="N66">
        <v>1</v>
      </c>
      <c r="O66">
        <v>8.3333333333333332E-3</v>
      </c>
      <c r="P66" t="s">
        <v>56</v>
      </c>
      <c r="Q66" t="s">
        <v>50</v>
      </c>
      <c r="R66">
        <v>2</v>
      </c>
      <c r="S66">
        <v>0</v>
      </c>
      <c r="T66" t="s">
        <v>51</v>
      </c>
      <c r="U66" t="s">
        <v>52</v>
      </c>
      <c r="V66" t="s">
        <v>53</v>
      </c>
      <c r="W66">
        <v>218</v>
      </c>
      <c r="X66">
        <v>210</v>
      </c>
      <c r="Y66">
        <v>0.96330275229357798</v>
      </c>
      <c r="Z66">
        <v>18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174</v>
      </c>
      <c r="AH66">
        <v>7</v>
      </c>
      <c r="AJ66">
        <v>10</v>
      </c>
      <c r="AK66">
        <v>0</v>
      </c>
      <c r="AL66">
        <v>0.11467889908256881</v>
      </c>
      <c r="AN66">
        <v>6</v>
      </c>
      <c r="AO66" s="3">
        <v>0</v>
      </c>
      <c r="AQ66">
        <v>108</v>
      </c>
      <c r="AR66">
        <f>(Table2[[#This Row],[Tx_Arm_Patinet_Withdrawal_Consent]]+Table2[[#This Row],[Tx_am_lost_fu]]+Table2[[#This Row],[Tx_arm_noncomp]])/Table2[[#This Row],[Tx_arm_randomized_to_tx]]</f>
        <v>5.5555555555555552E-2</v>
      </c>
      <c r="AS66">
        <v>12</v>
      </c>
      <c r="AV66">
        <v>110</v>
      </c>
      <c r="AW66">
        <f>(Table2[[#This Row],[Cr_arm_patient_withdrawal_consent]]+Table2[[#This Row],[Cr_arm_lost_fu]]+Table2[[#This Row],[Cr_am_noncomp]])/Table2[[#This Row],[Cr_am_total_randomized+patients]]</f>
        <v>0.10909090909090909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54</v>
      </c>
      <c r="BI66" t="s">
        <v>63</v>
      </c>
    </row>
    <row r="67" spans="1:61" x14ac:dyDescent="0.2">
      <c r="A67" s="5" t="s">
        <v>122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 t="s">
        <v>48</v>
      </c>
      <c r="N67">
        <v>1</v>
      </c>
      <c r="O67" t="s">
        <v>49</v>
      </c>
      <c r="P67" t="s">
        <v>50</v>
      </c>
      <c r="Q67" t="s">
        <v>50</v>
      </c>
      <c r="R67">
        <v>2</v>
      </c>
      <c r="S67">
        <v>0</v>
      </c>
      <c r="T67" t="s">
        <v>51</v>
      </c>
      <c r="U67" t="s">
        <v>52</v>
      </c>
      <c r="V67" t="s">
        <v>53</v>
      </c>
      <c r="W67">
        <v>653</v>
      </c>
      <c r="X67">
        <v>651</v>
      </c>
      <c r="Y67">
        <v>0.99693721286370596</v>
      </c>
      <c r="Z67">
        <v>58</v>
      </c>
      <c r="AA67">
        <v>1</v>
      </c>
      <c r="AB67">
        <v>3</v>
      </c>
      <c r="AC67">
        <v>0</v>
      </c>
      <c r="AD67">
        <v>0</v>
      </c>
      <c r="AE67">
        <v>0</v>
      </c>
      <c r="AF67">
        <v>3</v>
      </c>
      <c r="AG67">
        <v>348</v>
      </c>
      <c r="AH67">
        <v>17</v>
      </c>
      <c r="AJ67">
        <v>4</v>
      </c>
      <c r="AK67">
        <v>217</v>
      </c>
      <c r="AL67">
        <v>0.11944869831546708</v>
      </c>
      <c r="AM67" t="s">
        <v>385</v>
      </c>
      <c r="AN67">
        <v>37</v>
      </c>
      <c r="AQ67">
        <v>431</v>
      </c>
      <c r="AR67" s="8">
        <f>(Table2[[#This Row],[Tx_Arm_Patinet_Withdrawal_Consent]]+Table2[[#This Row],[Tx_am_lost_fu]]+Table2[[#This Row],[Tx_arm_noncomp]])/Table2[[#This Row],[Tx_arm_randomized_to_tx]]</f>
        <v>8.584686774941995E-2</v>
      </c>
      <c r="AS67">
        <v>21</v>
      </c>
      <c r="AV67">
        <v>220</v>
      </c>
      <c r="AW67" s="8">
        <f>(Table2[[#This Row],[Cr_arm_patient_withdrawal_consent]]+Table2[[#This Row],[Cr_arm_lost_fu]]+Table2[[#This Row],[Cr_am_noncomp]])/Table2[[#This Row],[Cr_am_total_randomized+patients]]</f>
        <v>9.5454545454545459E-2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 t="s">
        <v>54</v>
      </c>
      <c r="BI67" t="s">
        <v>54</v>
      </c>
    </row>
    <row r="68" spans="1:61" x14ac:dyDescent="0.2">
      <c r="A68" s="4" t="s">
        <v>239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 t="s">
        <v>60</v>
      </c>
      <c r="N68">
        <v>0</v>
      </c>
      <c r="O68">
        <v>3.469444444444445</v>
      </c>
      <c r="P68" t="s">
        <v>61</v>
      </c>
      <c r="Q68" t="s">
        <v>56</v>
      </c>
      <c r="R68">
        <v>3</v>
      </c>
      <c r="S68">
        <v>0</v>
      </c>
      <c r="T68" t="s">
        <v>51</v>
      </c>
      <c r="U68" t="s">
        <v>52</v>
      </c>
      <c r="V68" t="s">
        <v>53</v>
      </c>
      <c r="W68">
        <v>69</v>
      </c>
      <c r="X68">
        <v>41</v>
      </c>
      <c r="Y68">
        <v>0.59420289855072461</v>
      </c>
      <c r="Z68">
        <v>2</v>
      </c>
      <c r="AA68">
        <v>0</v>
      </c>
      <c r="AB68">
        <v>18</v>
      </c>
      <c r="AC68">
        <v>0</v>
      </c>
      <c r="AD68">
        <v>1</v>
      </c>
      <c r="AE68">
        <v>8</v>
      </c>
      <c r="AF68">
        <v>1</v>
      </c>
      <c r="AG68">
        <v>9</v>
      </c>
      <c r="AH68">
        <v>1</v>
      </c>
      <c r="AJ68">
        <v>1</v>
      </c>
      <c r="AK68">
        <v>0</v>
      </c>
      <c r="AL68">
        <v>5.7971014492753624E-2</v>
      </c>
      <c r="AN68">
        <v>2</v>
      </c>
      <c r="AO68" s="3">
        <v>0</v>
      </c>
      <c r="AQ68">
        <v>69</v>
      </c>
      <c r="AR68">
        <f>(Table2[[#This Row],[Tx_Arm_Patinet_Withdrawal_Consent]]+Table2[[#This Row],[Tx_am_lost_fu]]+Table2[[#This Row],[Tx_arm_noncomp]])/Table2[[#This Row],[Tx_arm_randomized_to_tx]]</f>
        <v>2.8985507246376812E-2</v>
      </c>
      <c r="AS68" t="s">
        <v>373</v>
      </c>
      <c r="AT68" t="s">
        <v>373</v>
      </c>
      <c r="AU68" t="s">
        <v>373</v>
      </c>
      <c r="AV68" t="s">
        <v>373</v>
      </c>
      <c r="AW68" t="e">
        <f>(Table2[[#This Row],[Cr_arm_patient_withdrawal_consent]]+Table2[[#This Row],[Cr_arm_lost_fu]]+Table2[[#This Row],[Cr_am_noncomp]])/Table2[[#This Row],[Cr_am_total_randomized+patients]]</f>
        <v>#VALUE!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54</v>
      </c>
      <c r="BI68" t="s">
        <v>54</v>
      </c>
    </row>
    <row r="69" spans="1:61" x14ac:dyDescent="0.2">
      <c r="A69" t="s">
        <v>305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48</v>
      </c>
      <c r="N69">
        <v>1</v>
      </c>
      <c r="O69">
        <v>7.4361111111111109</v>
      </c>
      <c r="P69" t="s">
        <v>50</v>
      </c>
      <c r="Q69" t="s">
        <v>50</v>
      </c>
      <c r="R69">
        <v>2</v>
      </c>
      <c r="S69">
        <v>0</v>
      </c>
      <c r="T69" t="s">
        <v>51</v>
      </c>
      <c r="U69" t="s">
        <v>52</v>
      </c>
      <c r="V69" t="s">
        <v>53</v>
      </c>
      <c r="W69">
        <v>550</v>
      </c>
      <c r="X69">
        <v>194</v>
      </c>
      <c r="Y69">
        <v>0.35272727272727272</v>
      </c>
      <c r="Z69">
        <v>13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175</v>
      </c>
      <c r="AH69">
        <v>6</v>
      </c>
      <c r="AJ69">
        <v>0</v>
      </c>
      <c r="AK69">
        <v>0</v>
      </c>
      <c r="AL69">
        <v>3.4545454545454546E-2</v>
      </c>
      <c r="AN69">
        <v>7</v>
      </c>
      <c r="AO69" s="3">
        <v>0</v>
      </c>
      <c r="AQ69">
        <v>275</v>
      </c>
      <c r="AR69">
        <f>(Table2[[#This Row],[Tx_Arm_Patinet_Withdrawal_Consent]]+Table2[[#This Row],[Tx_am_lost_fu]]+Table2[[#This Row],[Tx_arm_noncomp]])/Table2[[#This Row],[Tx_arm_randomized_to_tx]]</f>
        <v>2.5454545454545455E-2</v>
      </c>
      <c r="AS69">
        <v>6</v>
      </c>
      <c r="AV69">
        <v>275</v>
      </c>
      <c r="AW69">
        <f>(Table2[[#This Row],[Cr_arm_patient_withdrawal_consent]]+Table2[[#This Row],[Cr_arm_lost_fu]]+Table2[[#This Row],[Cr_am_noncomp]])/Table2[[#This Row],[Cr_am_total_randomized+patients]]</f>
        <v>2.181818181818182E-2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54</v>
      </c>
      <c r="BI69" t="s">
        <v>54</v>
      </c>
    </row>
    <row r="70" spans="1:61" x14ac:dyDescent="0.2">
      <c r="A70" t="s">
        <v>94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 t="s">
        <v>48</v>
      </c>
      <c r="N70">
        <v>1</v>
      </c>
      <c r="O70">
        <v>5</v>
      </c>
      <c r="P70" t="s">
        <v>50</v>
      </c>
      <c r="Q70" t="s">
        <v>50</v>
      </c>
      <c r="R70">
        <v>3</v>
      </c>
      <c r="S70">
        <v>0</v>
      </c>
      <c r="T70" t="s">
        <v>51</v>
      </c>
      <c r="U70" t="s">
        <v>52</v>
      </c>
      <c r="V70" t="s">
        <v>53</v>
      </c>
      <c r="W70">
        <v>402</v>
      </c>
      <c r="X70">
        <v>402</v>
      </c>
      <c r="Y70">
        <v>1</v>
      </c>
      <c r="Z70">
        <v>80</v>
      </c>
      <c r="AA70">
        <v>1</v>
      </c>
      <c r="AB70">
        <v>2</v>
      </c>
      <c r="AC70">
        <v>0</v>
      </c>
      <c r="AD70">
        <v>0</v>
      </c>
      <c r="AE70">
        <v>4</v>
      </c>
      <c r="AF70">
        <v>129</v>
      </c>
      <c r="AG70">
        <v>156</v>
      </c>
      <c r="AH70">
        <v>21</v>
      </c>
      <c r="AJ70">
        <v>9</v>
      </c>
      <c r="AK70">
        <v>0</v>
      </c>
      <c r="AL70">
        <v>0.57213930348258701</v>
      </c>
      <c r="AN70">
        <v>37</v>
      </c>
      <c r="AO70" s="3">
        <v>0</v>
      </c>
      <c r="AQ70">
        <v>192</v>
      </c>
      <c r="AR70">
        <f>(Table2[[#This Row],[Tx_Arm_Patinet_Withdrawal_Consent]]+Table2[[#This Row],[Tx_am_lost_fu]]+Table2[[#This Row],[Tx_arm_noncomp]])/Table2[[#This Row],[Tx_arm_randomized_to_tx]]</f>
        <v>0.19270833333333334</v>
      </c>
      <c r="AS70">
        <v>18</v>
      </c>
      <c r="AV70">
        <v>207</v>
      </c>
      <c r="AW70">
        <f>(Table2[[#This Row],[Cr_arm_patient_withdrawal_consent]]+Table2[[#This Row],[Cr_arm_lost_fu]]+Table2[[#This Row],[Cr_am_noncomp]])/Table2[[#This Row],[Cr_am_total_randomized+patients]]</f>
        <v>8.6956521739130432E-2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54</v>
      </c>
      <c r="BI70" t="s">
        <v>63</v>
      </c>
    </row>
    <row r="71" spans="1:61" x14ac:dyDescent="0.2">
      <c r="A71" t="s">
        <v>359</v>
      </c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48</v>
      </c>
      <c r="N71">
        <v>1</v>
      </c>
      <c r="O71">
        <v>0.31944444444444442</v>
      </c>
      <c r="P71" t="s">
        <v>56</v>
      </c>
      <c r="Q71" t="s">
        <v>56</v>
      </c>
      <c r="R71">
        <v>2</v>
      </c>
      <c r="S71">
        <v>0</v>
      </c>
      <c r="T71" t="s">
        <v>51</v>
      </c>
      <c r="U71" t="s">
        <v>52</v>
      </c>
      <c r="V71" t="s">
        <v>53</v>
      </c>
      <c r="W71">
        <v>112</v>
      </c>
      <c r="X71">
        <v>104</v>
      </c>
      <c r="Y71">
        <v>0.9285714285714286</v>
      </c>
      <c r="Z71">
        <v>11</v>
      </c>
      <c r="AA71">
        <v>2</v>
      </c>
      <c r="AB71">
        <v>98</v>
      </c>
      <c r="AC71">
        <v>0</v>
      </c>
      <c r="AD71">
        <v>0</v>
      </c>
      <c r="AE71">
        <v>0</v>
      </c>
      <c r="AF71">
        <v>1</v>
      </c>
      <c r="AG71">
        <v>79</v>
      </c>
      <c r="AH71">
        <v>6</v>
      </c>
      <c r="AJ71">
        <v>2</v>
      </c>
      <c r="AK71">
        <v>0</v>
      </c>
      <c r="AL71">
        <v>0.16071428571428573</v>
      </c>
      <c r="AN71">
        <v>1</v>
      </c>
      <c r="AO71" s="3">
        <v>0</v>
      </c>
      <c r="AQ71">
        <v>74</v>
      </c>
      <c r="AR71">
        <f>(Table2[[#This Row],[Tx_Arm_Patinet_Withdrawal_Consent]]+Table2[[#This Row],[Tx_am_lost_fu]]+Table2[[#This Row],[Tx_arm_noncomp]])/Table2[[#This Row],[Tx_arm_randomized_to_tx]]</f>
        <v>1.3513513513513514E-2</v>
      </c>
      <c r="AS71">
        <v>0</v>
      </c>
      <c r="AV71">
        <v>38</v>
      </c>
      <c r="AW71">
        <f>(Table2[[#This Row],[Cr_arm_patient_withdrawal_consent]]+Table2[[#This Row],[Cr_arm_lost_fu]]+Table2[[#This Row],[Cr_am_noncomp]])/Table2[[#This Row],[Cr_am_total_randomized+patients]]</f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54</v>
      </c>
      <c r="BI71" t="s">
        <v>63</v>
      </c>
    </row>
    <row r="72" spans="1:61" x14ac:dyDescent="0.2">
      <c r="A72" t="s">
        <v>218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48</v>
      </c>
      <c r="N72">
        <v>1</v>
      </c>
      <c r="O72">
        <v>2.0027777777777782</v>
      </c>
      <c r="P72" t="s">
        <v>56</v>
      </c>
      <c r="Q72" t="s">
        <v>56</v>
      </c>
      <c r="R72">
        <v>1</v>
      </c>
      <c r="S72">
        <v>1</v>
      </c>
      <c r="T72" t="s">
        <v>51</v>
      </c>
      <c r="U72" t="s">
        <v>52</v>
      </c>
      <c r="V72" t="s">
        <v>53</v>
      </c>
      <c r="W72">
        <v>457</v>
      </c>
      <c r="X72">
        <v>431</v>
      </c>
      <c r="Y72">
        <v>0.94310722100656452</v>
      </c>
      <c r="Z72">
        <v>27</v>
      </c>
      <c r="AA72">
        <v>47</v>
      </c>
      <c r="AB72">
        <v>283</v>
      </c>
      <c r="AC72">
        <v>0</v>
      </c>
      <c r="AD72">
        <v>0</v>
      </c>
      <c r="AE72">
        <v>23</v>
      </c>
      <c r="AF72">
        <v>2</v>
      </c>
      <c r="AG72">
        <v>30</v>
      </c>
      <c r="AH72">
        <v>0</v>
      </c>
      <c r="AJ72">
        <v>19</v>
      </c>
      <c r="AK72">
        <v>0</v>
      </c>
      <c r="AL72">
        <v>6.3457330415754923E-2</v>
      </c>
      <c r="AN72">
        <v>6</v>
      </c>
      <c r="AO72" s="3">
        <v>11</v>
      </c>
      <c r="AP72">
        <v>1</v>
      </c>
      <c r="AQ72">
        <v>229</v>
      </c>
      <c r="AR72">
        <f>(Table2[[#This Row],[Tx_Arm_Patinet_Withdrawal_Consent]]+Table2[[#This Row],[Tx_am_lost_fu]]+Table2[[#This Row],[Tx_arm_noncomp]])/Table2[[#This Row],[Tx_arm_randomized_to_tx]]</f>
        <v>7.8602620087336247E-2</v>
      </c>
      <c r="AS72">
        <v>21</v>
      </c>
      <c r="AT72">
        <v>5</v>
      </c>
      <c r="AU72">
        <v>8</v>
      </c>
      <c r="AV72">
        <v>228</v>
      </c>
      <c r="AW72">
        <f>(Table2[[#This Row],[Cr_arm_patient_withdrawal_consent]]+Table2[[#This Row],[Cr_arm_lost_fu]]+Table2[[#This Row],[Cr_am_noncomp]])/Table2[[#This Row],[Cr_am_total_randomized+patients]]</f>
        <v>0.14912280701754385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54</v>
      </c>
      <c r="BI72" t="s">
        <v>54</v>
      </c>
    </row>
    <row r="73" spans="1:61" x14ac:dyDescent="0.2">
      <c r="A73" t="s">
        <v>125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48</v>
      </c>
      <c r="N73">
        <v>1</v>
      </c>
      <c r="O73">
        <v>2.8194444444444451</v>
      </c>
      <c r="P73" t="s">
        <v>56</v>
      </c>
      <c r="Q73" t="s">
        <v>50</v>
      </c>
      <c r="R73">
        <v>2</v>
      </c>
      <c r="S73">
        <v>0</v>
      </c>
      <c r="T73" t="s">
        <v>51</v>
      </c>
      <c r="U73" t="s">
        <v>52</v>
      </c>
      <c r="V73" t="s">
        <v>53</v>
      </c>
      <c r="W73">
        <v>483</v>
      </c>
      <c r="X73">
        <v>459</v>
      </c>
      <c r="Y73">
        <v>0.9503105590062112</v>
      </c>
      <c r="Z73">
        <v>56</v>
      </c>
      <c r="AA73">
        <v>53</v>
      </c>
      <c r="AB73">
        <v>330</v>
      </c>
      <c r="AC73">
        <v>0</v>
      </c>
      <c r="AD73">
        <v>0</v>
      </c>
      <c r="AE73">
        <v>20</v>
      </c>
      <c r="AF73">
        <v>0</v>
      </c>
      <c r="AG73">
        <v>0</v>
      </c>
      <c r="AH73">
        <v>0</v>
      </c>
      <c r="AJ73">
        <v>0</v>
      </c>
      <c r="AK73">
        <v>0</v>
      </c>
      <c r="AL73">
        <v>0.11594202898550725</v>
      </c>
      <c r="AN73">
        <v>26</v>
      </c>
      <c r="AO73" s="3">
        <v>0</v>
      </c>
      <c r="AQ73">
        <v>167</v>
      </c>
      <c r="AR73">
        <f>(Table2[[#This Row],[Tx_Arm_Patinet_Withdrawal_Consent]]+Table2[[#This Row],[Tx_am_lost_fu]]+Table2[[#This Row],[Tx_arm_noncomp]])/Table2[[#This Row],[Tx_arm_randomized_to_tx]]</f>
        <v>0.15568862275449102</v>
      </c>
      <c r="AS73">
        <v>30</v>
      </c>
      <c r="AV73">
        <v>284</v>
      </c>
      <c r="AW73">
        <f>(Table2[[#This Row],[Cr_arm_patient_withdrawal_consent]]+Table2[[#This Row],[Cr_arm_lost_fu]]+Table2[[#This Row],[Cr_am_noncomp]])/Table2[[#This Row],[Cr_am_total_randomized+patients]]</f>
        <v>0.10563380281690141</v>
      </c>
      <c r="AX73">
        <v>0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57</v>
      </c>
      <c r="BI73" t="s">
        <v>54</v>
      </c>
    </row>
    <row r="74" spans="1:61" x14ac:dyDescent="0.2">
      <c r="A74" s="5" t="s">
        <v>144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48</v>
      </c>
      <c r="N74">
        <v>0</v>
      </c>
      <c r="O74">
        <v>3.2833333333333332</v>
      </c>
      <c r="P74" t="s">
        <v>61</v>
      </c>
      <c r="Q74" t="s">
        <v>50</v>
      </c>
      <c r="R74">
        <v>2</v>
      </c>
      <c r="S74">
        <v>0</v>
      </c>
      <c r="T74" t="s">
        <v>51</v>
      </c>
      <c r="U74" t="s">
        <v>52</v>
      </c>
      <c r="V74" t="s">
        <v>53</v>
      </c>
      <c r="W74">
        <v>502</v>
      </c>
      <c r="X74">
        <v>377</v>
      </c>
      <c r="Y74">
        <v>0.75099601593625498</v>
      </c>
      <c r="Z74">
        <v>37</v>
      </c>
      <c r="AA74">
        <v>106</v>
      </c>
      <c r="AB74">
        <v>185</v>
      </c>
      <c r="AC74">
        <v>0</v>
      </c>
      <c r="AD74">
        <v>2</v>
      </c>
      <c r="AE74">
        <v>20</v>
      </c>
      <c r="AF74">
        <v>10</v>
      </c>
      <c r="AG74">
        <v>10</v>
      </c>
      <c r="AH74">
        <v>2</v>
      </c>
      <c r="AJ74">
        <v>5</v>
      </c>
      <c r="AK74">
        <v>0</v>
      </c>
      <c r="AL74">
        <v>9.7609561752988044E-2</v>
      </c>
      <c r="AM74" t="s">
        <v>385</v>
      </c>
      <c r="AN74">
        <v>37</v>
      </c>
      <c r="AQ74">
        <v>502</v>
      </c>
      <c r="AR74" s="8">
        <f>(Table2[[#This Row],[Tx_Arm_Patinet_Withdrawal_Consent]]+Table2[[#This Row],[Tx_am_lost_fu]]+Table2[[#This Row],[Tx_arm_noncomp]])/Table2[[#This Row],[Tx_arm_randomized_to_tx]]</f>
        <v>7.370517928286853E-2</v>
      </c>
      <c r="AS74" t="s">
        <v>373</v>
      </c>
      <c r="AT74" t="s">
        <v>373</v>
      </c>
      <c r="AU74" t="s">
        <v>373</v>
      </c>
      <c r="AV74" t="s">
        <v>373</v>
      </c>
      <c r="AW74" s="8" t="e">
        <f>(Table2[[#This Row],[Cr_arm_patient_withdrawal_consent]]+Table2[[#This Row],[Cr_arm_lost_fu]]+Table2[[#This Row],[Cr_am_noncomp]])/Table2[[#This Row],[Cr_am_total_randomized+patients]]</f>
        <v>#VALUE!</v>
      </c>
      <c r="AX74">
        <v>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54</v>
      </c>
      <c r="BI74" t="s">
        <v>54</v>
      </c>
    </row>
    <row r="75" spans="1:61" x14ac:dyDescent="0.2">
      <c r="A75" t="s">
        <v>268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48</v>
      </c>
      <c r="N75">
        <v>1</v>
      </c>
      <c r="O75">
        <v>2.786111111111111</v>
      </c>
      <c r="P75" t="s">
        <v>50</v>
      </c>
      <c r="Q75" t="s">
        <v>50</v>
      </c>
      <c r="R75">
        <v>1</v>
      </c>
      <c r="S75">
        <v>1</v>
      </c>
      <c r="T75" t="s">
        <v>51</v>
      </c>
      <c r="U75" t="s">
        <v>52</v>
      </c>
      <c r="V75" t="s">
        <v>53</v>
      </c>
      <c r="W75">
        <v>151</v>
      </c>
      <c r="X75">
        <v>106</v>
      </c>
      <c r="Y75">
        <v>0.70198675496688745</v>
      </c>
      <c r="Z75">
        <v>13</v>
      </c>
      <c r="AA75">
        <v>7</v>
      </c>
      <c r="AB75">
        <v>11</v>
      </c>
      <c r="AC75">
        <v>1</v>
      </c>
      <c r="AD75">
        <v>0</v>
      </c>
      <c r="AE75">
        <v>0</v>
      </c>
      <c r="AF75">
        <v>2</v>
      </c>
      <c r="AG75">
        <v>71</v>
      </c>
      <c r="AH75">
        <v>1</v>
      </c>
      <c r="AJ75">
        <v>0</v>
      </c>
      <c r="AK75">
        <v>0</v>
      </c>
      <c r="AL75">
        <v>0.10596026490066225</v>
      </c>
      <c r="AN75">
        <v>4</v>
      </c>
      <c r="AO75" s="3">
        <v>0</v>
      </c>
      <c r="AQ75">
        <v>64</v>
      </c>
      <c r="AR75">
        <f>(Table2[[#This Row],[Tx_Arm_Patinet_Withdrawal_Consent]]+Table2[[#This Row],[Tx_am_lost_fu]]+Table2[[#This Row],[Tx_arm_noncomp]])/Table2[[#This Row],[Tx_arm_randomized_to_tx]]</f>
        <v>6.25E-2</v>
      </c>
      <c r="AS75">
        <v>3</v>
      </c>
      <c r="AV75">
        <v>63</v>
      </c>
      <c r="AW75">
        <f>(Table2[[#This Row],[Cr_arm_patient_withdrawal_consent]]+Table2[[#This Row],[Cr_arm_lost_fu]]+Table2[[#This Row],[Cr_am_noncomp]])/Table2[[#This Row],[Cr_am_total_randomized+patients]]</f>
        <v>4.7619047619047616E-2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54</v>
      </c>
      <c r="BI75" t="s">
        <v>54</v>
      </c>
    </row>
    <row r="76" spans="1:61" x14ac:dyDescent="0.2">
      <c r="A76" t="s">
        <v>151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48</v>
      </c>
      <c r="N76">
        <v>1</v>
      </c>
      <c r="O76">
        <v>6.0250000000000004</v>
      </c>
      <c r="P76" t="s">
        <v>56</v>
      </c>
      <c r="Q76" t="s">
        <v>56</v>
      </c>
      <c r="R76">
        <v>2</v>
      </c>
      <c r="S76">
        <v>0</v>
      </c>
      <c r="T76" t="s">
        <v>51</v>
      </c>
      <c r="U76" t="s">
        <v>52</v>
      </c>
      <c r="V76" t="s">
        <v>53</v>
      </c>
      <c r="W76">
        <v>491</v>
      </c>
      <c r="X76">
        <v>49</v>
      </c>
      <c r="Y76">
        <v>9.9796334012219962E-2</v>
      </c>
      <c r="Z76">
        <v>33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5</v>
      </c>
      <c r="AG76">
        <v>0</v>
      </c>
      <c r="AH76">
        <v>7</v>
      </c>
      <c r="AJ76">
        <v>4</v>
      </c>
      <c r="AK76">
        <v>0</v>
      </c>
      <c r="AL76">
        <v>9.1649694501018328E-2</v>
      </c>
      <c r="AN76">
        <v>19</v>
      </c>
      <c r="AO76" s="3">
        <v>0</v>
      </c>
      <c r="AQ76">
        <v>259</v>
      </c>
      <c r="AR76">
        <f>(Table2[[#This Row],[Tx_Arm_Patinet_Withdrawal_Consent]]+Table2[[#This Row],[Tx_am_lost_fu]]+Table2[[#This Row],[Tx_arm_noncomp]])/Table2[[#This Row],[Tx_arm_randomized_to_tx]]</f>
        <v>7.3359073359073365E-2</v>
      </c>
      <c r="AS76">
        <v>14</v>
      </c>
      <c r="AV76">
        <v>232</v>
      </c>
      <c r="AW76">
        <f>(Table2[[#This Row],[Cr_arm_patient_withdrawal_consent]]+Table2[[#This Row],[Cr_arm_lost_fu]]+Table2[[#This Row],[Cr_am_noncomp]])/Table2[[#This Row],[Cr_am_total_randomized+patients]]</f>
        <v>6.0344827586206899E-2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54</v>
      </c>
      <c r="BI76" t="s">
        <v>54</v>
      </c>
    </row>
    <row r="77" spans="1:61" x14ac:dyDescent="0.2">
      <c r="A77" t="s">
        <v>343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48</v>
      </c>
      <c r="N77">
        <v>1</v>
      </c>
      <c r="O77">
        <v>0.59444444444444444</v>
      </c>
      <c r="P77" t="s">
        <v>56</v>
      </c>
      <c r="Q77" t="s">
        <v>56</v>
      </c>
      <c r="R77">
        <v>1</v>
      </c>
      <c r="S77">
        <v>1</v>
      </c>
      <c r="T77" t="s">
        <v>51</v>
      </c>
      <c r="U77" t="s">
        <v>52</v>
      </c>
      <c r="V77" t="s">
        <v>53</v>
      </c>
      <c r="W77">
        <v>1134</v>
      </c>
      <c r="X77">
        <v>95</v>
      </c>
      <c r="Y77">
        <v>8.3774250440917103E-2</v>
      </c>
      <c r="Z77">
        <v>23</v>
      </c>
      <c r="AA77">
        <v>31</v>
      </c>
      <c r="AB77">
        <v>0</v>
      </c>
      <c r="AC77">
        <v>0</v>
      </c>
      <c r="AD77">
        <v>0</v>
      </c>
      <c r="AE77">
        <v>0</v>
      </c>
      <c r="AF77">
        <v>13</v>
      </c>
      <c r="AG77">
        <v>0</v>
      </c>
      <c r="AH77">
        <v>3</v>
      </c>
      <c r="AJ77">
        <v>25</v>
      </c>
      <c r="AK77">
        <v>0</v>
      </c>
      <c r="AL77">
        <v>3.439153439153439E-2</v>
      </c>
      <c r="AN77">
        <v>17</v>
      </c>
      <c r="AO77" s="3">
        <v>0</v>
      </c>
      <c r="AQ77">
        <v>624</v>
      </c>
      <c r="AR77">
        <f>(Table2[[#This Row],[Tx_Arm_Patinet_Withdrawal_Consent]]+Table2[[#This Row],[Tx_am_lost_fu]]+Table2[[#This Row],[Tx_arm_noncomp]])/Table2[[#This Row],[Tx_arm_randomized_to_tx]]</f>
        <v>2.7243589743589744E-2</v>
      </c>
      <c r="AS77">
        <v>6</v>
      </c>
      <c r="AV77">
        <v>310</v>
      </c>
      <c r="AW77">
        <f>(Table2[[#This Row],[Cr_arm_patient_withdrawal_consent]]+Table2[[#This Row],[Cr_arm_lost_fu]]+Table2[[#This Row],[Cr_am_noncomp]])/Table2[[#This Row],[Cr_am_total_randomized+patients]]</f>
        <v>1.935483870967742E-2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54</v>
      </c>
      <c r="BI77" t="s">
        <v>63</v>
      </c>
    </row>
    <row r="78" spans="1:61" x14ac:dyDescent="0.2">
      <c r="A78" t="s">
        <v>362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 t="s">
        <v>69</v>
      </c>
      <c r="N78">
        <v>0</v>
      </c>
      <c r="O78">
        <v>8.25</v>
      </c>
      <c r="P78" t="s">
        <v>61</v>
      </c>
      <c r="Q78" t="s">
        <v>56</v>
      </c>
      <c r="R78">
        <v>2</v>
      </c>
      <c r="S78">
        <v>0</v>
      </c>
      <c r="T78" t="s">
        <v>51</v>
      </c>
      <c r="U78" t="s">
        <v>52</v>
      </c>
      <c r="V78" t="s">
        <v>53</v>
      </c>
      <c r="W78">
        <v>867</v>
      </c>
      <c r="X78">
        <v>747</v>
      </c>
      <c r="Y78">
        <v>0.86159169550173009</v>
      </c>
      <c r="Z78">
        <v>12</v>
      </c>
      <c r="AA78">
        <v>73</v>
      </c>
      <c r="AB78">
        <v>624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J78">
        <v>37</v>
      </c>
      <c r="AK78">
        <v>0</v>
      </c>
      <c r="AL78">
        <v>1.4994232987312572E-2</v>
      </c>
      <c r="AN78">
        <v>12</v>
      </c>
      <c r="AO78" s="3">
        <v>0</v>
      </c>
      <c r="AQ78">
        <v>867</v>
      </c>
      <c r="AR78">
        <f>(Table2[[#This Row],[Tx_Arm_Patinet_Withdrawal_Consent]]+Table2[[#This Row],[Tx_am_lost_fu]]+Table2[[#This Row],[Tx_arm_noncomp]])/Table2[[#This Row],[Tx_arm_randomized_to_tx]]</f>
        <v>1.384083044982699E-2</v>
      </c>
      <c r="AS78" t="s">
        <v>373</v>
      </c>
      <c r="AT78" t="s">
        <v>373</v>
      </c>
      <c r="AU78" t="s">
        <v>373</v>
      </c>
      <c r="AV78" t="s">
        <v>49</v>
      </c>
      <c r="AW78" t="e">
        <f>(Table2[[#This Row],[Cr_arm_patient_withdrawal_consent]]+Table2[[#This Row],[Cr_arm_lost_fu]]+Table2[[#This Row],[Cr_am_noncomp]])/Table2[[#This Row],[Cr_am_total_randomized+patients]]</f>
        <v>#VALUE!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 t="s">
        <v>54</v>
      </c>
      <c r="BI78" t="s">
        <v>54</v>
      </c>
    </row>
    <row r="79" spans="1:61" x14ac:dyDescent="0.2">
      <c r="A79" t="s">
        <v>248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 t="s">
        <v>48</v>
      </c>
      <c r="N79">
        <v>1</v>
      </c>
      <c r="O79">
        <v>0.15277777777777779</v>
      </c>
      <c r="P79" t="s">
        <v>50</v>
      </c>
      <c r="Q79" t="s">
        <v>50</v>
      </c>
      <c r="R79">
        <v>2</v>
      </c>
      <c r="S79">
        <v>0</v>
      </c>
      <c r="T79" t="s">
        <v>51</v>
      </c>
      <c r="U79" t="s">
        <v>52</v>
      </c>
      <c r="V79" t="s">
        <v>53</v>
      </c>
      <c r="W79">
        <v>649</v>
      </c>
      <c r="X79">
        <v>357</v>
      </c>
      <c r="Y79">
        <v>0.55007704160246529</v>
      </c>
      <c r="Z79">
        <v>31</v>
      </c>
      <c r="AA79">
        <v>17</v>
      </c>
      <c r="AB79">
        <v>292</v>
      </c>
      <c r="AC79">
        <v>0</v>
      </c>
      <c r="AD79">
        <v>0</v>
      </c>
      <c r="AE79">
        <v>0</v>
      </c>
      <c r="AF79">
        <v>4</v>
      </c>
      <c r="AG79">
        <v>7</v>
      </c>
      <c r="AH79">
        <v>0</v>
      </c>
      <c r="AJ79">
        <v>6</v>
      </c>
      <c r="AK79">
        <v>0</v>
      </c>
      <c r="AL79">
        <v>5.3929121725731895E-2</v>
      </c>
      <c r="AN79">
        <v>14</v>
      </c>
      <c r="AO79" s="3">
        <v>0</v>
      </c>
      <c r="AQ79">
        <v>324</v>
      </c>
      <c r="AR79">
        <f>(Table2[[#This Row],[Tx_Arm_Patinet_Withdrawal_Consent]]+Table2[[#This Row],[Tx_am_lost_fu]]+Table2[[#This Row],[Tx_arm_noncomp]])/Table2[[#This Row],[Tx_arm_randomized_to_tx]]</f>
        <v>4.3209876543209874E-2</v>
      </c>
      <c r="AS79">
        <v>17</v>
      </c>
      <c r="AV79">
        <v>325</v>
      </c>
      <c r="AW79">
        <f>(Table2[[#This Row],[Cr_arm_patient_withdrawal_consent]]+Table2[[#This Row],[Cr_arm_lost_fu]]+Table2[[#This Row],[Cr_am_noncomp]])/Table2[[#This Row],[Cr_am_total_randomized+patients]]</f>
        <v>5.2307692307692305E-2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54</v>
      </c>
      <c r="BI79" t="s">
        <v>63</v>
      </c>
    </row>
    <row r="80" spans="1:61" x14ac:dyDescent="0.2">
      <c r="A80" t="s">
        <v>160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 t="s">
        <v>48</v>
      </c>
      <c r="N80">
        <v>1</v>
      </c>
      <c r="O80">
        <v>9.3916666666666675</v>
      </c>
      <c r="P80" t="s">
        <v>50</v>
      </c>
      <c r="Q80" t="s">
        <v>50</v>
      </c>
      <c r="R80">
        <v>2</v>
      </c>
      <c r="S80">
        <v>0</v>
      </c>
      <c r="T80" t="s">
        <v>51</v>
      </c>
      <c r="U80" t="s">
        <v>52</v>
      </c>
      <c r="V80" t="s">
        <v>53</v>
      </c>
      <c r="W80">
        <v>1101</v>
      </c>
      <c r="X80">
        <v>357</v>
      </c>
      <c r="Y80">
        <v>0.3242506811989101</v>
      </c>
      <c r="Z80">
        <v>81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</v>
      </c>
      <c r="AG80">
        <v>260</v>
      </c>
      <c r="AH80">
        <v>11</v>
      </c>
      <c r="AJ80">
        <v>1</v>
      </c>
      <c r="AK80">
        <v>0</v>
      </c>
      <c r="AL80">
        <v>8.7193460490463212E-2</v>
      </c>
      <c r="AN80">
        <v>30</v>
      </c>
      <c r="AO80" s="3">
        <v>0</v>
      </c>
      <c r="AQ80">
        <v>554</v>
      </c>
      <c r="AR80">
        <f>(Table2[[#This Row],[Tx_Arm_Patinet_Withdrawal_Consent]]+Table2[[#This Row],[Tx_am_lost_fu]]+Table2[[#This Row],[Tx_arm_noncomp]])/Table2[[#This Row],[Tx_arm_randomized_to_tx]]</f>
        <v>5.4151624548736461E-2</v>
      </c>
      <c r="AS80">
        <v>51</v>
      </c>
      <c r="AV80">
        <v>547</v>
      </c>
      <c r="AW80">
        <f>(Table2[[#This Row],[Cr_arm_patient_withdrawal_consent]]+Table2[[#This Row],[Cr_arm_lost_fu]]+Table2[[#This Row],[Cr_am_noncomp]])/Table2[[#This Row],[Cr_am_total_randomized+patients]]</f>
        <v>9.3235831809872036E-2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 t="s">
        <v>63</v>
      </c>
      <c r="BI80" t="s">
        <v>63</v>
      </c>
    </row>
    <row r="81" spans="1:61" x14ac:dyDescent="0.2">
      <c r="A81" t="s">
        <v>299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48</v>
      </c>
      <c r="N81">
        <v>1</v>
      </c>
      <c r="O81">
        <v>2.5000000000000001E-2</v>
      </c>
      <c r="P81" t="s">
        <v>56</v>
      </c>
      <c r="Q81" t="s">
        <v>56</v>
      </c>
      <c r="R81">
        <v>2</v>
      </c>
      <c r="S81">
        <v>1</v>
      </c>
      <c r="T81" t="s">
        <v>51</v>
      </c>
      <c r="U81" t="s">
        <v>52</v>
      </c>
      <c r="V81" t="s">
        <v>53</v>
      </c>
      <c r="W81">
        <v>453</v>
      </c>
      <c r="X81">
        <v>427</v>
      </c>
      <c r="Y81">
        <v>0.94260485651214132</v>
      </c>
      <c r="Z81">
        <v>18</v>
      </c>
      <c r="AA81">
        <v>44</v>
      </c>
      <c r="AB81">
        <v>338</v>
      </c>
      <c r="AC81">
        <v>18</v>
      </c>
      <c r="AD81">
        <v>0</v>
      </c>
      <c r="AE81">
        <v>1</v>
      </c>
      <c r="AF81">
        <v>4</v>
      </c>
      <c r="AG81">
        <v>4</v>
      </c>
      <c r="AH81">
        <v>0</v>
      </c>
      <c r="AJ81">
        <v>0</v>
      </c>
      <c r="AK81">
        <v>0</v>
      </c>
      <c r="AL81">
        <v>4.856512141280353E-2</v>
      </c>
      <c r="AN81">
        <v>8</v>
      </c>
      <c r="AO81" s="3">
        <v>0</v>
      </c>
      <c r="AQ81">
        <v>228</v>
      </c>
      <c r="AR81">
        <f>(Table2[[#This Row],[Tx_Arm_Patinet_Withdrawal_Consent]]+Table2[[#This Row],[Tx_am_lost_fu]]+Table2[[#This Row],[Tx_arm_noncomp]])/Table2[[#This Row],[Tx_arm_randomized_to_tx]]</f>
        <v>3.5087719298245612E-2</v>
      </c>
      <c r="AS81">
        <v>7</v>
      </c>
      <c r="AV81">
        <v>225</v>
      </c>
      <c r="AW81">
        <f>(Table2[[#This Row],[Cr_arm_patient_withdrawal_consent]]+Table2[[#This Row],[Cr_arm_lost_fu]]+Table2[[#This Row],[Cr_am_noncomp]])/Table2[[#This Row],[Cr_am_total_randomized+patients]]</f>
        <v>3.111111111111111E-2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57</v>
      </c>
      <c r="BI81" t="s">
        <v>63</v>
      </c>
    </row>
    <row r="82" spans="1:61" x14ac:dyDescent="0.2">
      <c r="A82" t="s">
        <v>204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48</v>
      </c>
      <c r="N82">
        <v>1</v>
      </c>
      <c r="O82">
        <v>2.8361111111111108</v>
      </c>
      <c r="P82" t="s">
        <v>56</v>
      </c>
      <c r="Q82" t="s">
        <v>56</v>
      </c>
      <c r="R82">
        <v>2</v>
      </c>
      <c r="S82">
        <v>0</v>
      </c>
      <c r="T82" t="s">
        <v>51</v>
      </c>
      <c r="U82" t="s">
        <v>52</v>
      </c>
      <c r="V82" t="s">
        <v>53</v>
      </c>
      <c r="W82">
        <v>444</v>
      </c>
      <c r="X82">
        <v>70</v>
      </c>
      <c r="Y82">
        <v>0.15765765765765766</v>
      </c>
      <c r="Z82" s="6">
        <v>24</v>
      </c>
      <c r="AA82" s="6">
        <v>0</v>
      </c>
      <c r="AB82" s="6">
        <v>0</v>
      </c>
      <c r="AC82" s="6">
        <v>0</v>
      </c>
      <c r="AD82" s="6">
        <v>0</v>
      </c>
      <c r="AE82" s="6">
        <v>18</v>
      </c>
      <c r="AF82" s="6">
        <v>0</v>
      </c>
      <c r="AG82" s="6">
        <v>0</v>
      </c>
      <c r="AH82" s="6">
        <v>7</v>
      </c>
      <c r="AI82" s="6"/>
      <c r="AJ82" s="6">
        <v>21</v>
      </c>
      <c r="AK82" s="6">
        <v>0</v>
      </c>
      <c r="AL82">
        <v>6.9819819819819814E-2</v>
      </c>
      <c r="AN82">
        <v>24</v>
      </c>
      <c r="AO82" s="3">
        <v>7</v>
      </c>
      <c r="AP82">
        <v>18</v>
      </c>
      <c r="AQ82">
        <v>342</v>
      </c>
      <c r="AR82">
        <f>(Table2[[#This Row],[Tx_Arm_Patinet_Withdrawal_Consent]]+Table2[[#This Row],[Tx_am_lost_fu]]+Table2[[#This Row],[Tx_arm_noncomp]])/Table2[[#This Row],[Tx_arm_randomized_to_tx]]</f>
        <v>0.14327485380116958</v>
      </c>
      <c r="AS82" t="s">
        <v>373</v>
      </c>
      <c r="AT82" t="s">
        <v>373</v>
      </c>
      <c r="AU82" t="s">
        <v>373</v>
      </c>
      <c r="AV82" t="s">
        <v>373</v>
      </c>
      <c r="AW82" t="e">
        <f>(Table2[[#This Row],[Cr_arm_patient_withdrawal_consent]]+Table2[[#This Row],[Cr_arm_lost_fu]]+Table2[[#This Row],[Cr_am_noncomp]])/Table2[[#This Row],[Cr_am_total_randomized+patients]]</f>
        <v>#VALUE!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54</v>
      </c>
      <c r="BI82" t="s">
        <v>54</v>
      </c>
    </row>
    <row r="83" spans="1:61" x14ac:dyDescent="0.2">
      <c r="A83" t="s">
        <v>215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48</v>
      </c>
      <c r="N83">
        <v>1</v>
      </c>
      <c r="O83">
        <v>0.43055555555555558</v>
      </c>
      <c r="P83" t="s">
        <v>50</v>
      </c>
      <c r="Q83" t="s">
        <v>50</v>
      </c>
      <c r="R83">
        <v>1</v>
      </c>
      <c r="S83">
        <v>1</v>
      </c>
      <c r="T83" t="s">
        <v>51</v>
      </c>
      <c r="U83" t="s">
        <v>52</v>
      </c>
      <c r="V83" t="s">
        <v>53</v>
      </c>
      <c r="W83">
        <v>1301</v>
      </c>
      <c r="X83">
        <v>644</v>
      </c>
      <c r="Y83">
        <v>0.49500384319754037</v>
      </c>
      <c r="Z83">
        <v>72</v>
      </c>
      <c r="AA83">
        <v>141</v>
      </c>
      <c r="AB83">
        <v>334</v>
      </c>
      <c r="AC83">
        <v>0</v>
      </c>
      <c r="AD83">
        <v>0</v>
      </c>
      <c r="AE83">
        <v>66</v>
      </c>
      <c r="AF83">
        <v>10</v>
      </c>
      <c r="AG83">
        <v>2</v>
      </c>
      <c r="AH83">
        <v>1</v>
      </c>
      <c r="AJ83">
        <v>18</v>
      </c>
      <c r="AK83">
        <v>0</v>
      </c>
      <c r="AL83">
        <v>6.3797079169869333E-2</v>
      </c>
      <c r="AN83">
        <v>37</v>
      </c>
      <c r="AO83" s="3">
        <v>0</v>
      </c>
      <c r="AQ83">
        <v>651</v>
      </c>
      <c r="AR83">
        <f>(Table2[[#This Row],[Tx_Arm_Patinet_Withdrawal_Consent]]+Table2[[#This Row],[Tx_am_lost_fu]]+Table2[[#This Row],[Tx_arm_noncomp]])/Table2[[#This Row],[Tx_arm_randomized_to_tx]]</f>
        <v>5.683563748079877E-2</v>
      </c>
      <c r="AS83">
        <v>35</v>
      </c>
      <c r="AV83">
        <v>650</v>
      </c>
      <c r="AW83">
        <f>(Table2[[#This Row],[Cr_arm_patient_withdrawal_consent]]+Table2[[#This Row],[Cr_arm_lost_fu]]+Table2[[#This Row],[Cr_am_noncomp]])/Table2[[#This Row],[Cr_am_total_randomized+patients]]</f>
        <v>5.3846153846153849E-2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54</v>
      </c>
      <c r="BI83" t="s">
        <v>54</v>
      </c>
    </row>
    <row r="84" spans="1:61" x14ac:dyDescent="0.2">
      <c r="A84" s="4" t="s">
        <v>244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 t="s">
        <v>69</v>
      </c>
      <c r="N84">
        <v>0</v>
      </c>
      <c r="O84">
        <v>0.26111111111111113</v>
      </c>
      <c r="P84" t="s">
        <v>50</v>
      </c>
      <c r="Q84" t="s">
        <v>50</v>
      </c>
      <c r="R84">
        <v>2</v>
      </c>
      <c r="S84">
        <v>1</v>
      </c>
      <c r="T84" t="s">
        <v>51</v>
      </c>
      <c r="U84" t="s">
        <v>52</v>
      </c>
      <c r="V84" t="s">
        <v>53</v>
      </c>
      <c r="W84">
        <v>126</v>
      </c>
      <c r="X84">
        <v>99</v>
      </c>
      <c r="Y84">
        <v>0.7857142857142857</v>
      </c>
      <c r="Z84">
        <v>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91</v>
      </c>
      <c r="AH84">
        <v>2</v>
      </c>
      <c r="AJ84">
        <v>1</v>
      </c>
      <c r="AK84">
        <v>0</v>
      </c>
      <c r="AL84">
        <v>5.5555555555555552E-2</v>
      </c>
      <c r="AN84">
        <v>5</v>
      </c>
      <c r="AO84" s="3">
        <v>0</v>
      </c>
      <c r="AQ84">
        <v>126</v>
      </c>
      <c r="AR84">
        <f>(Table2[[#This Row],[Tx_Arm_Patinet_Withdrawal_Consent]]+Table2[[#This Row],[Tx_am_lost_fu]]+Table2[[#This Row],[Tx_arm_noncomp]])/Table2[[#This Row],[Tx_arm_randomized_to_tx]]</f>
        <v>3.968253968253968E-2</v>
      </c>
      <c r="AS84" t="s">
        <v>373</v>
      </c>
      <c r="AT84" t="s">
        <v>373</v>
      </c>
      <c r="AU84" t="s">
        <v>373</v>
      </c>
      <c r="AV84" t="s">
        <v>373</v>
      </c>
      <c r="AW84" t="e">
        <f>(Table2[[#This Row],[Cr_arm_patient_withdrawal_consent]]+Table2[[#This Row],[Cr_arm_lost_fu]]+Table2[[#This Row],[Cr_am_noncomp]])/Table2[[#This Row],[Cr_am_total_randomized+patients]]</f>
        <v>#VALUE!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54</v>
      </c>
      <c r="BI84" t="s">
        <v>63</v>
      </c>
    </row>
    <row r="85" spans="1:61" x14ac:dyDescent="0.2">
      <c r="A85" s="5" t="s">
        <v>98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48</v>
      </c>
      <c r="N85">
        <v>1</v>
      </c>
      <c r="O85">
        <v>6.1111111111111109E-2</v>
      </c>
      <c r="P85" t="s">
        <v>56</v>
      </c>
      <c r="Q85" t="s">
        <v>50</v>
      </c>
      <c r="R85">
        <v>2</v>
      </c>
      <c r="S85">
        <v>1</v>
      </c>
      <c r="T85" t="s">
        <v>51</v>
      </c>
      <c r="U85" t="s">
        <v>52</v>
      </c>
      <c r="V85" t="s">
        <v>53</v>
      </c>
      <c r="W85">
        <v>759</v>
      </c>
      <c r="X85">
        <v>732</v>
      </c>
      <c r="Y85">
        <v>0.96442687747035571</v>
      </c>
      <c r="Z85">
        <v>81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4</v>
      </c>
      <c r="AG85">
        <v>394</v>
      </c>
      <c r="AH85">
        <v>25</v>
      </c>
      <c r="AJ85">
        <v>1</v>
      </c>
      <c r="AK85">
        <v>226</v>
      </c>
      <c r="AL85">
        <v>0.14492753623188406</v>
      </c>
      <c r="AM85" t="s">
        <v>385</v>
      </c>
      <c r="AN85">
        <v>37</v>
      </c>
      <c r="AQ85">
        <v>379</v>
      </c>
      <c r="AR85" s="8">
        <f>(Table2[[#This Row],[Tx_Arm_Patinet_Withdrawal_Consent]]+Table2[[#This Row],[Tx_am_lost_fu]]+Table2[[#This Row],[Tx_arm_noncomp]])/Table2[[#This Row],[Tx_arm_randomized_to_tx]]</f>
        <v>9.7625329815303433E-2</v>
      </c>
      <c r="AS85">
        <v>44</v>
      </c>
      <c r="AV85">
        <v>380</v>
      </c>
      <c r="AW85" s="8">
        <f>(Table2[[#This Row],[Cr_arm_patient_withdrawal_consent]]+Table2[[#This Row],[Cr_arm_lost_fu]]+Table2[[#This Row],[Cr_am_noncomp]])/Table2[[#This Row],[Cr_am_total_randomized+patients]]</f>
        <v>0.11578947368421053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 t="s">
        <v>54</v>
      </c>
      <c r="BI85" t="s">
        <v>54</v>
      </c>
    </row>
    <row r="86" spans="1:61" x14ac:dyDescent="0.2">
      <c r="A86" t="s">
        <v>353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48</v>
      </c>
      <c r="N86">
        <v>1</v>
      </c>
      <c r="O86">
        <v>0.17777777777777781</v>
      </c>
      <c r="P86" t="s">
        <v>56</v>
      </c>
      <c r="Q86" t="s">
        <v>56</v>
      </c>
      <c r="R86">
        <v>2</v>
      </c>
      <c r="S86">
        <v>0</v>
      </c>
      <c r="T86" t="s">
        <v>65</v>
      </c>
      <c r="U86" t="s">
        <v>52</v>
      </c>
      <c r="V86" t="s">
        <v>53</v>
      </c>
      <c r="W86">
        <v>144</v>
      </c>
      <c r="X86">
        <v>131</v>
      </c>
      <c r="Y86">
        <v>0.90972222222222221</v>
      </c>
      <c r="Z86">
        <v>3</v>
      </c>
      <c r="AA86">
        <v>7</v>
      </c>
      <c r="AB86">
        <v>103</v>
      </c>
      <c r="AC86">
        <v>0</v>
      </c>
      <c r="AD86">
        <v>0</v>
      </c>
      <c r="AE86">
        <v>0</v>
      </c>
      <c r="AF86">
        <v>6</v>
      </c>
      <c r="AG86">
        <v>9</v>
      </c>
      <c r="AH86">
        <v>0</v>
      </c>
      <c r="AJ86">
        <v>3</v>
      </c>
      <c r="AK86">
        <v>0</v>
      </c>
      <c r="AL86">
        <v>6.25E-2</v>
      </c>
      <c r="AN86">
        <v>1</v>
      </c>
      <c r="AO86" s="3">
        <v>0</v>
      </c>
      <c r="AQ86">
        <v>73</v>
      </c>
      <c r="AR86">
        <f>(Table2[[#This Row],[Tx_Arm_Patinet_Withdrawal_Consent]]+Table2[[#This Row],[Tx_am_lost_fu]]+Table2[[#This Row],[Tx_arm_noncomp]])/Table2[[#This Row],[Tx_arm_randomized_to_tx]]</f>
        <v>1.3698630136986301E-2</v>
      </c>
      <c r="AS86">
        <v>2</v>
      </c>
      <c r="AV86">
        <v>71</v>
      </c>
      <c r="AW86">
        <f>(Table2[[#This Row],[Cr_arm_patient_withdrawal_consent]]+Table2[[#This Row],[Cr_arm_lost_fu]]+Table2[[#This Row],[Cr_am_noncomp]])/Table2[[#This Row],[Cr_am_total_randomized+patients]]</f>
        <v>2.8169014084507043E-2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57</v>
      </c>
      <c r="BI86" t="s">
        <v>63</v>
      </c>
    </row>
    <row r="87" spans="1:61" x14ac:dyDescent="0.2">
      <c r="A87" t="s">
        <v>128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 t="s">
        <v>48</v>
      </c>
      <c r="N87">
        <v>1</v>
      </c>
      <c r="O87">
        <v>7.2638888888888893</v>
      </c>
      <c r="P87" t="s">
        <v>50</v>
      </c>
      <c r="Q87" t="s">
        <v>56</v>
      </c>
      <c r="R87">
        <v>2</v>
      </c>
      <c r="S87">
        <v>0</v>
      </c>
      <c r="T87" t="s">
        <v>51</v>
      </c>
      <c r="U87" t="s">
        <v>52</v>
      </c>
      <c r="V87" t="s">
        <v>53</v>
      </c>
      <c r="W87">
        <v>307</v>
      </c>
      <c r="X87">
        <v>282</v>
      </c>
      <c r="Y87">
        <v>0.91856677524429964</v>
      </c>
      <c r="Z87">
        <v>13</v>
      </c>
      <c r="AA87">
        <v>42</v>
      </c>
      <c r="AB87">
        <v>204</v>
      </c>
      <c r="AC87">
        <v>0</v>
      </c>
      <c r="AD87">
        <v>0</v>
      </c>
      <c r="AE87">
        <v>1</v>
      </c>
      <c r="AF87">
        <v>8</v>
      </c>
      <c r="AG87">
        <v>0</v>
      </c>
      <c r="AH87">
        <v>14</v>
      </c>
      <c r="AJ87">
        <v>0</v>
      </c>
      <c r="AK87">
        <v>0</v>
      </c>
      <c r="AL87">
        <v>0.11400651465798045</v>
      </c>
      <c r="AN87">
        <v>7</v>
      </c>
      <c r="AO87" s="3">
        <v>0</v>
      </c>
      <c r="AQ87">
        <v>154</v>
      </c>
      <c r="AR87">
        <f>(Table2[[#This Row],[Tx_Arm_Patinet_Withdrawal_Consent]]+Table2[[#This Row],[Tx_am_lost_fu]]+Table2[[#This Row],[Tx_arm_noncomp]])/Table2[[#This Row],[Tx_arm_randomized_to_tx]]</f>
        <v>4.5454545454545456E-2</v>
      </c>
      <c r="AS87">
        <v>9</v>
      </c>
      <c r="AV87">
        <v>153</v>
      </c>
      <c r="AW87">
        <f>(Table2[[#This Row],[Cr_arm_patient_withdrawal_consent]]+Table2[[#This Row],[Cr_arm_lost_fu]]+Table2[[#This Row],[Cr_am_noncomp]])/Table2[[#This Row],[Cr_am_total_randomized+patients]]</f>
        <v>5.8823529411764705E-2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54</v>
      </c>
      <c r="BI87" t="s">
        <v>54</v>
      </c>
    </row>
    <row r="88" spans="1:61" x14ac:dyDescent="0.2">
      <c r="A88" t="s">
        <v>201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48</v>
      </c>
      <c r="N88">
        <v>1</v>
      </c>
      <c r="O88">
        <v>0.26111111111111113</v>
      </c>
      <c r="P88" t="s">
        <v>56</v>
      </c>
      <c r="Q88" t="s">
        <v>56</v>
      </c>
      <c r="R88">
        <v>1</v>
      </c>
      <c r="S88">
        <v>1</v>
      </c>
      <c r="T88" t="s">
        <v>51</v>
      </c>
      <c r="U88" t="s">
        <v>52</v>
      </c>
      <c r="V88" t="s">
        <v>53</v>
      </c>
      <c r="W88">
        <v>185</v>
      </c>
      <c r="X88">
        <v>87</v>
      </c>
      <c r="Y88">
        <v>0.4702702702702703</v>
      </c>
      <c r="Z88">
        <v>12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74</v>
      </c>
      <c r="AH88">
        <v>1</v>
      </c>
      <c r="AJ88">
        <v>0</v>
      </c>
      <c r="AK88">
        <v>0</v>
      </c>
      <c r="AL88">
        <v>7.0270270270270274E-2</v>
      </c>
      <c r="AN88">
        <v>5</v>
      </c>
      <c r="AO88" s="3">
        <v>0</v>
      </c>
      <c r="AQ88">
        <v>124</v>
      </c>
      <c r="AR88">
        <f>(Table2[[#This Row],[Tx_Arm_Patinet_Withdrawal_Consent]]+Table2[[#This Row],[Tx_am_lost_fu]]+Table2[[#This Row],[Tx_arm_noncomp]])/Table2[[#This Row],[Tx_arm_randomized_to_tx]]</f>
        <v>4.0322580645161289E-2</v>
      </c>
      <c r="AS88">
        <v>7</v>
      </c>
      <c r="AV88">
        <v>61</v>
      </c>
      <c r="AW88">
        <f>(Table2[[#This Row],[Cr_arm_patient_withdrawal_consent]]+Table2[[#This Row],[Cr_arm_lost_fu]]+Table2[[#This Row],[Cr_am_noncomp]])/Table2[[#This Row],[Cr_am_total_randomized+patients]]</f>
        <v>0.11475409836065574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57</v>
      </c>
      <c r="BI88" t="s">
        <v>63</v>
      </c>
    </row>
    <row r="89" spans="1:61" x14ac:dyDescent="0.2">
      <c r="A89" t="s">
        <v>123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48</v>
      </c>
      <c r="N89">
        <v>1</v>
      </c>
      <c r="O89">
        <v>3.125</v>
      </c>
      <c r="P89" t="s">
        <v>56</v>
      </c>
      <c r="Q89" t="s">
        <v>56</v>
      </c>
      <c r="R89">
        <v>1</v>
      </c>
      <c r="S89">
        <v>1</v>
      </c>
      <c r="T89" t="s">
        <v>51</v>
      </c>
      <c r="U89" t="s">
        <v>52</v>
      </c>
      <c r="V89" t="s">
        <v>53</v>
      </c>
      <c r="W89">
        <v>387</v>
      </c>
      <c r="X89">
        <v>286</v>
      </c>
      <c r="Y89">
        <v>0.73901808785529721</v>
      </c>
      <c r="Z89">
        <v>41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237</v>
      </c>
      <c r="AH89">
        <v>4</v>
      </c>
      <c r="AJ89">
        <v>1</v>
      </c>
      <c r="AK89">
        <v>1</v>
      </c>
      <c r="AL89">
        <v>0.11886304909560723</v>
      </c>
      <c r="AN89">
        <v>28</v>
      </c>
      <c r="AO89" s="3">
        <v>0</v>
      </c>
      <c r="AQ89">
        <v>256</v>
      </c>
      <c r="AR89">
        <f>(Table2[[#This Row],[Tx_Arm_Patinet_Withdrawal_Consent]]+Table2[[#This Row],[Tx_am_lost_fu]]+Table2[[#This Row],[Tx_arm_noncomp]])/Table2[[#This Row],[Tx_arm_randomized_to_tx]]</f>
        <v>0.109375</v>
      </c>
      <c r="AS89">
        <v>13</v>
      </c>
      <c r="AV89">
        <v>131</v>
      </c>
      <c r="AW89">
        <f>(Table2[[#This Row],[Cr_arm_patient_withdrawal_consent]]+Table2[[#This Row],[Cr_arm_lost_fu]]+Table2[[#This Row],[Cr_am_noncomp]])/Table2[[#This Row],[Cr_am_total_randomized+patients]]</f>
        <v>9.9236641221374045E-2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 t="s">
        <v>54</v>
      </c>
      <c r="BI89" t="s">
        <v>54</v>
      </c>
    </row>
    <row r="90" spans="1:61" x14ac:dyDescent="0.2">
      <c r="A90" t="s">
        <v>224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48</v>
      </c>
      <c r="N90">
        <v>1</v>
      </c>
      <c r="O90">
        <v>2.5499999999999998</v>
      </c>
      <c r="P90" t="s">
        <v>56</v>
      </c>
      <c r="Q90" t="s">
        <v>50</v>
      </c>
      <c r="R90">
        <v>2</v>
      </c>
      <c r="S90">
        <v>0</v>
      </c>
      <c r="T90" t="s">
        <v>51</v>
      </c>
      <c r="U90" t="s">
        <v>52</v>
      </c>
      <c r="V90" t="s">
        <v>53</v>
      </c>
      <c r="W90">
        <v>128</v>
      </c>
      <c r="X90">
        <v>98</v>
      </c>
      <c r="Y90">
        <v>0.765625</v>
      </c>
      <c r="Z90">
        <v>8</v>
      </c>
      <c r="AA90">
        <v>9</v>
      </c>
      <c r="AB90">
        <v>67</v>
      </c>
      <c r="AC90">
        <v>0</v>
      </c>
      <c r="AD90">
        <v>1</v>
      </c>
      <c r="AE90">
        <v>7</v>
      </c>
      <c r="AF90">
        <v>0</v>
      </c>
      <c r="AG90">
        <v>0</v>
      </c>
      <c r="AH90">
        <v>0</v>
      </c>
      <c r="AJ90">
        <v>6</v>
      </c>
      <c r="AK90">
        <v>0</v>
      </c>
      <c r="AL90">
        <v>6.25E-2</v>
      </c>
      <c r="AN90">
        <v>5</v>
      </c>
      <c r="AO90" s="3">
        <v>0</v>
      </c>
      <c r="AP90">
        <v>2</v>
      </c>
      <c r="AQ90">
        <v>62</v>
      </c>
      <c r="AR90">
        <f>(Table2[[#This Row],[Tx_Arm_Patinet_Withdrawal_Consent]]+Table2[[#This Row],[Tx_am_lost_fu]]+Table2[[#This Row],[Tx_arm_noncomp]])/Table2[[#This Row],[Tx_arm_randomized_to_tx]]</f>
        <v>0.11290322580645161</v>
      </c>
      <c r="AS90">
        <v>3</v>
      </c>
      <c r="AT90">
        <v>0</v>
      </c>
      <c r="AU90">
        <v>5</v>
      </c>
      <c r="AV90">
        <v>61</v>
      </c>
      <c r="AW90">
        <f>(Table2[[#This Row],[Cr_arm_patient_withdrawal_consent]]+Table2[[#This Row],[Cr_arm_lost_fu]]+Table2[[#This Row],[Cr_am_noncomp]])/Table2[[#This Row],[Cr_am_total_randomized+patients]]</f>
        <v>0.13114754098360656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57</v>
      </c>
      <c r="BI90" t="s">
        <v>54</v>
      </c>
    </row>
    <row r="91" spans="1:61" x14ac:dyDescent="0.2">
      <c r="A91" t="s">
        <v>207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48</v>
      </c>
      <c r="N91">
        <v>1</v>
      </c>
      <c r="O91">
        <v>2.9555555555555562</v>
      </c>
      <c r="P91" t="s">
        <v>50</v>
      </c>
      <c r="Q91" t="s">
        <v>50</v>
      </c>
      <c r="R91">
        <v>2</v>
      </c>
      <c r="S91">
        <v>0</v>
      </c>
      <c r="T91" t="s">
        <v>51</v>
      </c>
      <c r="U91" t="s">
        <v>52</v>
      </c>
      <c r="V91" t="s">
        <v>73</v>
      </c>
      <c r="W91">
        <v>450</v>
      </c>
      <c r="X91">
        <v>313</v>
      </c>
      <c r="Y91">
        <v>0.69555555555555559</v>
      </c>
      <c r="Z91">
        <v>25</v>
      </c>
      <c r="AA91">
        <v>26</v>
      </c>
      <c r="AB91">
        <v>199</v>
      </c>
      <c r="AC91">
        <v>0</v>
      </c>
      <c r="AD91">
        <v>12</v>
      </c>
      <c r="AE91">
        <v>22</v>
      </c>
      <c r="AF91">
        <v>2</v>
      </c>
      <c r="AG91">
        <v>10</v>
      </c>
      <c r="AH91">
        <v>4</v>
      </c>
      <c r="AJ91">
        <v>13</v>
      </c>
      <c r="AK91">
        <v>0</v>
      </c>
      <c r="AL91">
        <v>6.8888888888888888E-2</v>
      </c>
      <c r="AN91">
        <v>15</v>
      </c>
      <c r="AO91" s="3">
        <v>4</v>
      </c>
      <c r="AP91">
        <v>11</v>
      </c>
      <c r="AQ91">
        <v>226</v>
      </c>
      <c r="AR91">
        <f>(Table2[[#This Row],[Tx_Arm_Patinet_Withdrawal_Consent]]+Table2[[#This Row],[Tx_am_lost_fu]]+Table2[[#This Row],[Tx_arm_noncomp]])/Table2[[#This Row],[Tx_arm_randomized_to_tx]]</f>
        <v>0.13274336283185842</v>
      </c>
      <c r="AS91">
        <v>10</v>
      </c>
      <c r="AU91">
        <v>13</v>
      </c>
      <c r="AV91">
        <v>224</v>
      </c>
      <c r="AW91">
        <f>(Table2[[#This Row],[Cr_arm_patient_withdrawal_consent]]+Table2[[#This Row],[Cr_arm_lost_fu]]+Table2[[#This Row],[Cr_am_noncomp]])/Table2[[#This Row],[Cr_am_total_randomized+patients]]</f>
        <v>0.10267857142857142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54</v>
      </c>
      <c r="BI91" t="s">
        <v>54</v>
      </c>
    </row>
    <row r="92" spans="1:61" x14ac:dyDescent="0.2">
      <c r="A92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 t="s">
        <v>69</v>
      </c>
      <c r="N92">
        <v>0</v>
      </c>
      <c r="O92">
        <v>6.0333333333333332</v>
      </c>
      <c r="P92" t="s">
        <v>61</v>
      </c>
      <c r="Q92" t="s">
        <v>50</v>
      </c>
      <c r="R92">
        <v>3</v>
      </c>
      <c r="S92">
        <v>0</v>
      </c>
      <c r="T92" t="s">
        <v>51</v>
      </c>
      <c r="U92" t="s">
        <v>52</v>
      </c>
      <c r="V92" t="s">
        <v>53</v>
      </c>
      <c r="W92">
        <v>3246</v>
      </c>
      <c r="X92">
        <v>2246</v>
      </c>
      <c r="Y92">
        <v>0.69192852741836108</v>
      </c>
      <c r="Z92">
        <v>139</v>
      </c>
      <c r="AA92">
        <v>517</v>
      </c>
      <c r="AB92">
        <v>1224</v>
      </c>
      <c r="AC92">
        <v>0</v>
      </c>
      <c r="AD92">
        <v>0</v>
      </c>
      <c r="AE92">
        <v>0</v>
      </c>
      <c r="AF92">
        <v>301</v>
      </c>
      <c r="AG92">
        <v>52</v>
      </c>
      <c r="AH92">
        <v>8</v>
      </c>
      <c r="AJ92">
        <v>5</v>
      </c>
      <c r="AK92">
        <v>0</v>
      </c>
      <c r="AL92">
        <v>0.13801601971657423</v>
      </c>
      <c r="AN92">
        <v>127</v>
      </c>
      <c r="AO92" s="3">
        <v>0</v>
      </c>
      <c r="AQ92">
        <v>3246</v>
      </c>
      <c r="AR92">
        <f>(Table2[[#This Row],[Tx_Arm_Patinet_Withdrawal_Consent]]+Table2[[#This Row],[Tx_am_lost_fu]]+Table2[[#This Row],[Tx_arm_noncomp]])/Table2[[#This Row],[Tx_arm_randomized_to_tx]]</f>
        <v>3.9125077017868146E-2</v>
      </c>
      <c r="AS92" t="s">
        <v>373</v>
      </c>
      <c r="AT92" t="s">
        <v>373</v>
      </c>
      <c r="AU92" t="s">
        <v>373</v>
      </c>
      <c r="AV92" t="s">
        <v>49</v>
      </c>
      <c r="AW92" t="e">
        <f>(Table2[[#This Row],[Cr_arm_patient_withdrawal_consent]]+Table2[[#This Row],[Cr_arm_lost_fu]]+Table2[[#This Row],[Cr_am_noncomp]])/Table2[[#This Row],[Cr_am_total_randomized+patients]]</f>
        <v>#VALUE!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 t="s">
        <v>54</v>
      </c>
      <c r="BI92" t="s">
        <v>54</v>
      </c>
    </row>
    <row r="93" spans="1:61" x14ac:dyDescent="0.2">
      <c r="A93" s="5" t="s">
        <v>152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69</v>
      </c>
      <c r="N93">
        <v>0</v>
      </c>
      <c r="O93">
        <v>0.3972222222222222</v>
      </c>
      <c r="P93" t="s">
        <v>61</v>
      </c>
      <c r="Q93" t="s">
        <v>56</v>
      </c>
      <c r="R93">
        <v>2</v>
      </c>
      <c r="S93">
        <v>0</v>
      </c>
      <c r="T93" t="s">
        <v>51</v>
      </c>
      <c r="U93" t="s">
        <v>52</v>
      </c>
      <c r="V93" t="s">
        <v>53</v>
      </c>
      <c r="W93">
        <v>1004</v>
      </c>
      <c r="X93">
        <v>1004</v>
      </c>
      <c r="Y93">
        <v>1</v>
      </c>
      <c r="Z93">
        <v>40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3</v>
      </c>
      <c r="AG93">
        <v>780</v>
      </c>
      <c r="AH93">
        <v>49</v>
      </c>
      <c r="AJ93">
        <v>72</v>
      </c>
      <c r="AK93">
        <v>57</v>
      </c>
      <c r="AL93">
        <v>9.1633466135458169E-2</v>
      </c>
      <c r="AM93" t="s">
        <v>384</v>
      </c>
      <c r="AN93">
        <v>40</v>
      </c>
      <c r="AQ93">
        <v>1004</v>
      </c>
      <c r="AR93" s="8">
        <f>(Table2[[#This Row],[Tx_Arm_Patinet_Withdrawal_Consent]]+Table2[[#This Row],[Tx_am_lost_fu]]+Table2[[#This Row],[Tx_arm_noncomp]])/Table2[[#This Row],[Tx_arm_randomized_to_tx]]</f>
        <v>3.9840637450199202E-2</v>
      </c>
      <c r="AS93" t="s">
        <v>373</v>
      </c>
      <c r="AT93" t="s">
        <v>373</v>
      </c>
      <c r="AU93" t="s">
        <v>373</v>
      </c>
      <c r="AV93" t="s">
        <v>49</v>
      </c>
      <c r="AW93" s="8" t="e">
        <f>(Table2[[#This Row],[Cr_arm_patient_withdrawal_consent]]+Table2[[#This Row],[Cr_arm_lost_fu]]+Table2[[#This Row],[Cr_am_noncomp]])/Table2[[#This Row],[Cr_am_total_randomized+patients]]</f>
        <v>#VALUE!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 t="s">
        <v>54</v>
      </c>
      <c r="BI93" t="s">
        <v>54</v>
      </c>
    </row>
    <row r="94" spans="1:61" x14ac:dyDescent="0.2">
      <c r="A94" t="s">
        <v>260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48</v>
      </c>
      <c r="N94">
        <v>1</v>
      </c>
      <c r="O94">
        <v>6.6944444444444446</v>
      </c>
      <c r="P94" t="s">
        <v>50</v>
      </c>
      <c r="Q94" t="s">
        <v>50</v>
      </c>
      <c r="R94">
        <v>2</v>
      </c>
      <c r="S94">
        <v>0</v>
      </c>
      <c r="T94" t="s">
        <v>51</v>
      </c>
      <c r="U94" t="s">
        <v>52</v>
      </c>
      <c r="V94" t="s">
        <v>73</v>
      </c>
      <c r="W94">
        <v>702</v>
      </c>
      <c r="X94">
        <v>702</v>
      </c>
      <c r="Y94">
        <v>1</v>
      </c>
      <c r="Z94">
        <v>30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630</v>
      </c>
      <c r="AH94">
        <v>5</v>
      </c>
      <c r="AJ94">
        <v>11</v>
      </c>
      <c r="AK94">
        <v>26</v>
      </c>
      <c r="AL94">
        <v>4.9857549857549859E-2</v>
      </c>
      <c r="AN94">
        <v>10</v>
      </c>
      <c r="AO94" s="3">
        <v>0</v>
      </c>
      <c r="AQ94">
        <v>481</v>
      </c>
      <c r="AR94">
        <f>(Table2[[#This Row],[Tx_Arm_Patinet_Withdrawal_Consent]]+Table2[[#This Row],[Tx_am_lost_fu]]+Table2[[#This Row],[Tx_arm_noncomp]])/Table2[[#This Row],[Tx_arm_randomized_to_tx]]</f>
        <v>2.0790020790020791E-2</v>
      </c>
      <c r="AS94">
        <v>20</v>
      </c>
      <c r="AV94">
        <v>221</v>
      </c>
      <c r="AW94">
        <f>(Table2[[#This Row],[Cr_arm_patient_withdrawal_consent]]+Table2[[#This Row],[Cr_arm_lost_fu]]+Table2[[#This Row],[Cr_am_noncomp]])/Table2[[#This Row],[Cr_am_total_randomized+patients]]</f>
        <v>9.0497737556561084E-2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 t="s">
        <v>54</v>
      </c>
      <c r="BI94" t="s">
        <v>54</v>
      </c>
    </row>
    <row r="95" spans="1:61" x14ac:dyDescent="0.2">
      <c r="A95" t="s">
        <v>217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48</v>
      </c>
      <c r="N95">
        <v>1</v>
      </c>
      <c r="O95">
        <v>3.0111111111111111</v>
      </c>
      <c r="P95" t="s">
        <v>50</v>
      </c>
      <c r="Q95" t="s">
        <v>50</v>
      </c>
      <c r="R95">
        <v>2</v>
      </c>
      <c r="S95">
        <v>0</v>
      </c>
      <c r="T95" t="s">
        <v>51</v>
      </c>
      <c r="U95" t="s">
        <v>52</v>
      </c>
      <c r="V95" t="s">
        <v>53</v>
      </c>
      <c r="W95">
        <v>567</v>
      </c>
      <c r="X95">
        <v>475</v>
      </c>
      <c r="Y95">
        <v>0.83774250440917108</v>
      </c>
      <c r="Z95">
        <v>34</v>
      </c>
      <c r="AA95">
        <v>26</v>
      </c>
      <c r="AB95">
        <v>392</v>
      </c>
      <c r="AC95">
        <v>0</v>
      </c>
      <c r="AD95">
        <v>0</v>
      </c>
      <c r="AE95">
        <v>6</v>
      </c>
      <c r="AF95">
        <v>2</v>
      </c>
      <c r="AG95">
        <v>8</v>
      </c>
      <c r="AH95">
        <v>0</v>
      </c>
      <c r="AJ95">
        <v>7</v>
      </c>
      <c r="AK95">
        <v>0</v>
      </c>
      <c r="AL95">
        <v>6.3492063492063489E-2</v>
      </c>
      <c r="AN95">
        <v>16</v>
      </c>
      <c r="AO95" s="3">
        <v>0</v>
      </c>
      <c r="AQ95">
        <v>283</v>
      </c>
      <c r="AR95">
        <f>(Table2[[#This Row],[Tx_Arm_Patinet_Withdrawal_Consent]]+Table2[[#This Row],[Tx_am_lost_fu]]+Table2[[#This Row],[Tx_arm_noncomp]])/Table2[[#This Row],[Tx_arm_randomized_to_tx]]</f>
        <v>5.6537102473498232E-2</v>
      </c>
      <c r="AS95">
        <v>18</v>
      </c>
      <c r="AV95">
        <v>284</v>
      </c>
      <c r="AW95">
        <f>(Table2[[#This Row],[Cr_arm_patient_withdrawal_consent]]+Table2[[#This Row],[Cr_arm_lost_fu]]+Table2[[#This Row],[Cr_am_noncomp]])/Table2[[#This Row],[Cr_am_total_randomized+patients]]</f>
        <v>6.3380281690140844E-2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54</v>
      </c>
      <c r="BI95" t="s">
        <v>57</v>
      </c>
    </row>
    <row r="96" spans="1:61" x14ac:dyDescent="0.2">
      <c r="A96" t="s">
        <v>172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 t="s">
        <v>48</v>
      </c>
      <c r="N96">
        <v>1</v>
      </c>
      <c r="O96">
        <v>3.208333333333333</v>
      </c>
      <c r="P96" t="s">
        <v>50</v>
      </c>
      <c r="Q96" t="s">
        <v>56</v>
      </c>
      <c r="R96">
        <v>2</v>
      </c>
      <c r="S96">
        <v>0</v>
      </c>
      <c r="T96" t="s">
        <v>51</v>
      </c>
      <c r="U96" t="s">
        <v>52</v>
      </c>
      <c r="V96" t="s">
        <v>53</v>
      </c>
      <c r="W96">
        <v>302</v>
      </c>
      <c r="X96">
        <v>292</v>
      </c>
      <c r="Y96">
        <v>0.9668874172185431</v>
      </c>
      <c r="Z96">
        <v>24</v>
      </c>
      <c r="AA96">
        <v>33</v>
      </c>
      <c r="AB96">
        <v>107</v>
      </c>
      <c r="AC96">
        <v>0</v>
      </c>
      <c r="AD96">
        <v>58</v>
      </c>
      <c r="AE96">
        <v>0</v>
      </c>
      <c r="AF96">
        <v>0</v>
      </c>
      <c r="AG96">
        <v>49</v>
      </c>
      <c r="AH96">
        <v>0</v>
      </c>
      <c r="AJ96">
        <v>21</v>
      </c>
      <c r="AK96">
        <v>0</v>
      </c>
      <c r="AL96">
        <v>7.9470198675496692E-2</v>
      </c>
      <c r="AN96">
        <v>15</v>
      </c>
      <c r="AO96" s="3">
        <v>0</v>
      </c>
      <c r="AQ96">
        <v>148</v>
      </c>
      <c r="AR96">
        <f>(Table2[[#This Row],[Tx_Arm_Patinet_Withdrawal_Consent]]+Table2[[#This Row],[Tx_am_lost_fu]]+Table2[[#This Row],[Tx_arm_noncomp]])/Table2[[#This Row],[Tx_arm_randomized_to_tx]]</f>
        <v>0.10135135135135136</v>
      </c>
      <c r="AS96">
        <v>9</v>
      </c>
      <c r="AV96">
        <v>154</v>
      </c>
      <c r="AW96">
        <f>(Table2[[#This Row],[Cr_arm_patient_withdrawal_consent]]+Table2[[#This Row],[Cr_arm_lost_fu]]+Table2[[#This Row],[Cr_am_noncomp]])/Table2[[#This Row],[Cr_am_total_randomized+patients]]</f>
        <v>5.844155844155844E-2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54</v>
      </c>
      <c r="BI96" t="s">
        <v>54</v>
      </c>
    </row>
    <row r="97" spans="1:61" x14ac:dyDescent="0.2">
      <c r="A97" t="s">
        <v>364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48</v>
      </c>
      <c r="N97">
        <v>1</v>
      </c>
      <c r="O97">
        <v>9.2833333333333332</v>
      </c>
      <c r="P97" t="s">
        <v>61</v>
      </c>
      <c r="Q97" t="s">
        <v>56</v>
      </c>
      <c r="R97">
        <v>2</v>
      </c>
      <c r="S97">
        <v>0</v>
      </c>
      <c r="T97" t="s">
        <v>51</v>
      </c>
      <c r="U97" t="s">
        <v>52</v>
      </c>
      <c r="V97" t="s">
        <v>53</v>
      </c>
      <c r="W97">
        <v>106</v>
      </c>
      <c r="X97">
        <v>52</v>
      </c>
      <c r="Y97">
        <v>0.49056603773584906</v>
      </c>
      <c r="Z97">
        <v>1</v>
      </c>
      <c r="AA97">
        <v>38</v>
      </c>
      <c r="AB97">
        <v>13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J97">
        <v>0</v>
      </c>
      <c r="AK97">
        <v>0</v>
      </c>
      <c r="AL97">
        <v>9.433962264150943E-3</v>
      </c>
      <c r="AN97">
        <v>1</v>
      </c>
      <c r="AO97" s="3">
        <v>0</v>
      </c>
      <c r="AQ97">
        <v>53</v>
      </c>
      <c r="AR97">
        <f>(Table2[[#This Row],[Tx_Arm_Patinet_Withdrawal_Consent]]+Table2[[#This Row],[Tx_am_lost_fu]]+Table2[[#This Row],[Tx_arm_noncomp]])/Table2[[#This Row],[Tx_arm_randomized_to_tx]]</f>
        <v>1.8867924528301886E-2</v>
      </c>
      <c r="AS97">
        <v>0</v>
      </c>
      <c r="AV97">
        <v>53</v>
      </c>
      <c r="AW97">
        <f>(Table2[[#This Row],[Cr_arm_patient_withdrawal_consent]]+Table2[[#This Row],[Cr_arm_lost_fu]]+Table2[[#This Row],[Cr_am_noncomp]])/Table2[[#This Row],[Cr_am_total_randomized+patients]]</f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54</v>
      </c>
      <c r="BI97" t="s">
        <v>54</v>
      </c>
    </row>
    <row r="98" spans="1:61" x14ac:dyDescent="0.2">
      <c r="A98" s="5" t="s">
        <v>286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 t="s">
        <v>48</v>
      </c>
      <c r="N98">
        <v>1</v>
      </c>
      <c r="O98">
        <v>0.48888888888888887</v>
      </c>
      <c r="P98" t="s">
        <v>50</v>
      </c>
      <c r="Q98" t="s">
        <v>50</v>
      </c>
      <c r="R98">
        <v>1</v>
      </c>
      <c r="S98">
        <v>1</v>
      </c>
      <c r="T98" t="s">
        <v>51</v>
      </c>
      <c r="U98" t="s">
        <v>52</v>
      </c>
      <c r="V98" t="s">
        <v>53</v>
      </c>
      <c r="W98">
        <v>605</v>
      </c>
      <c r="X98">
        <v>416</v>
      </c>
      <c r="Y98">
        <v>0.68760330578512396</v>
      </c>
      <c r="Z98">
        <v>46</v>
      </c>
      <c r="AA98">
        <v>84</v>
      </c>
      <c r="AB98">
        <v>225</v>
      </c>
      <c r="AC98">
        <v>0</v>
      </c>
      <c r="AD98">
        <v>0</v>
      </c>
      <c r="AE98">
        <v>0</v>
      </c>
      <c r="AF98">
        <v>10</v>
      </c>
      <c r="AG98">
        <v>0</v>
      </c>
      <c r="AH98">
        <v>2</v>
      </c>
      <c r="AI98">
        <v>13</v>
      </c>
      <c r="AJ98">
        <v>49</v>
      </c>
      <c r="AK98">
        <v>0</v>
      </c>
      <c r="AL98">
        <v>9.5867768595041328E-2</v>
      </c>
      <c r="AM98" t="s">
        <v>384</v>
      </c>
      <c r="AN98">
        <v>10</v>
      </c>
      <c r="AQ98">
        <v>303</v>
      </c>
      <c r="AR98" s="8">
        <f>(Table2[[#This Row],[Tx_Arm_Patinet_Withdrawal_Consent]]+Table2[[#This Row],[Tx_am_lost_fu]]+Table2[[#This Row],[Tx_arm_noncomp]])/Table2[[#This Row],[Tx_arm_randomized_to_tx]]</f>
        <v>3.3003300330033E-2</v>
      </c>
      <c r="AS98">
        <v>16</v>
      </c>
      <c r="AV98">
        <v>392</v>
      </c>
      <c r="AW98" s="8">
        <f>(Table2[[#This Row],[Cr_arm_patient_withdrawal_consent]]+Table2[[#This Row],[Cr_arm_lost_fu]]+Table2[[#This Row],[Cr_am_noncomp]])/Table2[[#This Row],[Cr_am_total_randomized+patients]]</f>
        <v>4.0816326530612242E-2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54</v>
      </c>
      <c r="BI98" t="s">
        <v>54</v>
      </c>
    </row>
    <row r="99" spans="1:61" x14ac:dyDescent="0.2">
      <c r="A99" t="s">
        <v>83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48</v>
      </c>
      <c r="N99">
        <v>1</v>
      </c>
      <c r="O99">
        <v>4.083333333333333</v>
      </c>
      <c r="P99" t="s">
        <v>56</v>
      </c>
      <c r="Q99" t="s">
        <v>50</v>
      </c>
      <c r="R99">
        <v>2</v>
      </c>
      <c r="S99">
        <v>0</v>
      </c>
      <c r="T99" t="s">
        <v>51</v>
      </c>
      <c r="U99" t="s">
        <v>52</v>
      </c>
      <c r="V99" t="s">
        <v>53</v>
      </c>
      <c r="W99">
        <v>440</v>
      </c>
      <c r="X99">
        <v>432</v>
      </c>
      <c r="Y99">
        <v>0.98181818181818181</v>
      </c>
      <c r="Z99">
        <v>60</v>
      </c>
      <c r="AA99">
        <v>28</v>
      </c>
      <c r="AB99">
        <v>293</v>
      </c>
      <c r="AC99">
        <v>0</v>
      </c>
      <c r="AD99">
        <v>0</v>
      </c>
      <c r="AE99">
        <v>5</v>
      </c>
      <c r="AF99">
        <v>21</v>
      </c>
      <c r="AG99">
        <v>20</v>
      </c>
      <c r="AH99">
        <v>5</v>
      </c>
      <c r="AJ99">
        <v>0</v>
      </c>
      <c r="AK99">
        <v>0</v>
      </c>
      <c r="AL99">
        <v>0.19545454545454546</v>
      </c>
      <c r="AN99">
        <v>51</v>
      </c>
      <c r="AO99" s="3">
        <v>0</v>
      </c>
      <c r="AQ99">
        <v>294</v>
      </c>
      <c r="AR99">
        <f>(Table2[[#This Row],[Tx_Arm_Patinet_Withdrawal_Consent]]+Table2[[#This Row],[Tx_am_lost_fu]]+Table2[[#This Row],[Tx_arm_noncomp]])/Table2[[#This Row],[Tx_arm_randomized_to_tx]]</f>
        <v>0.17346938775510204</v>
      </c>
      <c r="AS99">
        <v>14</v>
      </c>
      <c r="AV99">
        <v>146</v>
      </c>
      <c r="AW99">
        <f>(Table2[[#This Row],[Cr_arm_patient_withdrawal_consent]]+Table2[[#This Row],[Cr_arm_lost_fu]]+Table2[[#This Row],[Cr_am_noncomp]])/Table2[[#This Row],[Cr_am_total_randomized+patients]]</f>
        <v>9.5890410958904104E-2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54</v>
      </c>
      <c r="BI99" t="s">
        <v>63</v>
      </c>
    </row>
    <row r="100" spans="1:61" x14ac:dyDescent="0.2">
      <c r="A100" t="s">
        <v>100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 t="s">
        <v>48</v>
      </c>
      <c r="N100">
        <v>1</v>
      </c>
      <c r="O100">
        <v>0.43333333333333329</v>
      </c>
      <c r="P100" t="s">
        <v>50</v>
      </c>
      <c r="Q100" t="s">
        <v>50</v>
      </c>
      <c r="R100">
        <v>1</v>
      </c>
      <c r="S100">
        <v>1</v>
      </c>
      <c r="T100" t="s">
        <v>51</v>
      </c>
      <c r="U100" t="s">
        <v>52</v>
      </c>
      <c r="V100" t="s">
        <v>53</v>
      </c>
      <c r="W100">
        <v>243</v>
      </c>
      <c r="X100">
        <v>125</v>
      </c>
      <c r="Y100">
        <v>0.51440329218106995</v>
      </c>
      <c r="Z100">
        <v>11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90</v>
      </c>
      <c r="AH100">
        <v>24</v>
      </c>
      <c r="AJ100">
        <v>0</v>
      </c>
      <c r="AK100">
        <v>0</v>
      </c>
      <c r="AL100">
        <v>0.1440329218106996</v>
      </c>
      <c r="AN100">
        <v>4</v>
      </c>
      <c r="AO100" s="3">
        <v>0</v>
      </c>
      <c r="AP100">
        <v>69</v>
      </c>
      <c r="AQ100">
        <v>122</v>
      </c>
      <c r="AR100">
        <f>(Table2[[#This Row],[Tx_Arm_Patinet_Withdrawal_Consent]]+Table2[[#This Row],[Tx_am_lost_fu]]+Table2[[#This Row],[Tx_arm_noncomp]])/Table2[[#This Row],[Tx_arm_randomized_to_tx]]</f>
        <v>0.59836065573770492</v>
      </c>
      <c r="AS100">
        <v>7</v>
      </c>
      <c r="AU100">
        <v>49</v>
      </c>
      <c r="AV100">
        <v>121</v>
      </c>
      <c r="AW100">
        <f>(Table2[[#This Row],[Cr_arm_patient_withdrawal_consent]]+Table2[[#This Row],[Cr_arm_lost_fu]]+Table2[[#This Row],[Cr_am_noncomp]])/Table2[[#This Row],[Cr_am_total_randomized+patients]]</f>
        <v>0.46280991735537191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54</v>
      </c>
      <c r="BI100" t="s">
        <v>63</v>
      </c>
    </row>
    <row r="101" spans="1:61" x14ac:dyDescent="0.2">
      <c r="A101" s="5" t="s">
        <v>251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 t="s">
        <v>48</v>
      </c>
      <c r="N101">
        <v>1</v>
      </c>
      <c r="O101" t="s">
        <v>49</v>
      </c>
      <c r="P101" t="s">
        <v>50</v>
      </c>
      <c r="Q101" t="s">
        <v>50</v>
      </c>
      <c r="R101">
        <v>2</v>
      </c>
      <c r="S101">
        <v>0</v>
      </c>
      <c r="T101" t="s">
        <v>51</v>
      </c>
      <c r="U101" t="s">
        <v>52</v>
      </c>
      <c r="V101" t="s">
        <v>53</v>
      </c>
      <c r="W101">
        <v>2031</v>
      </c>
      <c r="X101">
        <v>436</v>
      </c>
      <c r="Y101">
        <v>0.21467257508616444</v>
      </c>
      <c r="Z101">
        <v>93</v>
      </c>
      <c r="AA101">
        <v>3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284</v>
      </c>
      <c r="AH101">
        <v>15</v>
      </c>
      <c r="AJ101">
        <v>40</v>
      </c>
      <c r="AK101">
        <v>0</v>
      </c>
      <c r="AL101">
        <v>5.3175775480059084E-2</v>
      </c>
      <c r="AM101" t="s">
        <v>384</v>
      </c>
      <c r="AN101">
        <v>33</v>
      </c>
      <c r="AQ101">
        <v>1198</v>
      </c>
      <c r="AR101" s="8">
        <f>(Table2[[#This Row],[Tx_Arm_Patinet_Withdrawal_Consent]]+Table2[[#This Row],[Tx_am_lost_fu]]+Table2[[#This Row],[Tx_arm_noncomp]])/Table2[[#This Row],[Tx_arm_randomized_to_tx]]</f>
        <v>2.7545909849749584E-2</v>
      </c>
      <c r="AS101">
        <v>62</v>
      </c>
      <c r="AV101">
        <v>833</v>
      </c>
      <c r="AW101" s="8">
        <f>(Table2[[#This Row],[Cr_arm_patient_withdrawal_consent]]+Table2[[#This Row],[Cr_arm_lost_fu]]+Table2[[#This Row],[Cr_am_noncomp]])/Table2[[#This Row],[Cr_am_total_randomized+patients]]</f>
        <v>7.4429771908763501E-2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63</v>
      </c>
      <c r="BI101" t="s">
        <v>54</v>
      </c>
    </row>
    <row r="102" spans="1:61" x14ac:dyDescent="0.2">
      <c r="A102" t="s">
        <v>300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48</v>
      </c>
      <c r="N102">
        <v>1</v>
      </c>
      <c r="O102" t="s">
        <v>49</v>
      </c>
      <c r="P102" t="s">
        <v>56</v>
      </c>
      <c r="Q102" t="s">
        <v>56</v>
      </c>
      <c r="R102">
        <v>2</v>
      </c>
      <c r="S102">
        <v>0</v>
      </c>
      <c r="T102" t="s">
        <v>51</v>
      </c>
      <c r="U102" t="s">
        <v>52</v>
      </c>
      <c r="V102" t="s">
        <v>53</v>
      </c>
      <c r="W102">
        <v>425</v>
      </c>
      <c r="X102">
        <v>425</v>
      </c>
      <c r="Y102">
        <v>1</v>
      </c>
      <c r="Z102">
        <v>13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373</v>
      </c>
      <c r="AH102">
        <v>2</v>
      </c>
      <c r="AJ102">
        <v>37</v>
      </c>
      <c r="AK102">
        <v>0</v>
      </c>
      <c r="AL102">
        <v>3.5294117647058823E-2</v>
      </c>
      <c r="AN102">
        <v>3</v>
      </c>
      <c r="AO102" s="3">
        <v>0</v>
      </c>
      <c r="AQ102">
        <v>213</v>
      </c>
      <c r="AR102">
        <f>(Table2[[#This Row],[Tx_Arm_Patinet_Withdrawal_Consent]]+Table2[[#This Row],[Tx_am_lost_fu]]+Table2[[#This Row],[Tx_arm_noncomp]])/Table2[[#This Row],[Tx_arm_randomized_to_tx]]</f>
        <v>1.4084507042253521E-2</v>
      </c>
      <c r="AS102">
        <v>10</v>
      </c>
      <c r="AV102">
        <v>212</v>
      </c>
      <c r="AW102">
        <f>(Table2[[#This Row],[Cr_arm_patient_withdrawal_consent]]+Table2[[#This Row],[Cr_arm_lost_fu]]+Table2[[#This Row],[Cr_am_noncomp]])/Table2[[#This Row],[Cr_am_total_randomized+patients]]</f>
        <v>4.716981132075472E-2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 t="s">
        <v>54</v>
      </c>
      <c r="BI102" t="s">
        <v>54</v>
      </c>
    </row>
    <row r="103" spans="1:61" x14ac:dyDescent="0.2">
      <c r="A103" t="s">
        <v>168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48</v>
      </c>
      <c r="N103">
        <v>1</v>
      </c>
      <c r="O103">
        <v>6.0472222222222216</v>
      </c>
      <c r="P103" t="s">
        <v>50</v>
      </c>
      <c r="Q103" t="s">
        <v>50</v>
      </c>
      <c r="R103">
        <v>2</v>
      </c>
      <c r="S103">
        <v>0</v>
      </c>
      <c r="T103" t="s">
        <v>51</v>
      </c>
      <c r="U103" t="s">
        <v>52</v>
      </c>
      <c r="V103" t="s">
        <v>53</v>
      </c>
      <c r="W103">
        <v>367</v>
      </c>
      <c r="X103">
        <v>359</v>
      </c>
      <c r="Y103">
        <v>0.97820163487738421</v>
      </c>
      <c r="Z103">
        <v>30</v>
      </c>
      <c r="AA103">
        <v>23</v>
      </c>
      <c r="AB103">
        <v>262</v>
      </c>
      <c r="AC103">
        <v>9</v>
      </c>
      <c r="AD103">
        <v>0</v>
      </c>
      <c r="AE103">
        <v>6</v>
      </c>
      <c r="AF103">
        <v>0</v>
      </c>
      <c r="AG103">
        <v>5</v>
      </c>
      <c r="AH103">
        <v>0</v>
      </c>
      <c r="AJ103">
        <v>24</v>
      </c>
      <c r="AK103">
        <v>0</v>
      </c>
      <c r="AL103">
        <v>8.1743869209809264E-2</v>
      </c>
      <c r="AN103">
        <v>21</v>
      </c>
      <c r="AO103" s="3">
        <v>0</v>
      </c>
      <c r="AQ103">
        <v>217</v>
      </c>
      <c r="AR103">
        <f>(Table2[[#This Row],[Tx_Arm_Patinet_Withdrawal_Consent]]+Table2[[#This Row],[Tx_am_lost_fu]]+Table2[[#This Row],[Tx_arm_noncomp]])/Table2[[#This Row],[Tx_arm_randomized_to_tx]]</f>
        <v>9.6774193548387094E-2</v>
      </c>
      <c r="AS103">
        <v>22</v>
      </c>
      <c r="AV103">
        <v>150</v>
      </c>
      <c r="AW103">
        <f>(Table2[[#This Row],[Cr_arm_patient_withdrawal_consent]]+Table2[[#This Row],[Cr_arm_lost_fu]]+Table2[[#This Row],[Cr_am_noncomp]])/Table2[[#This Row],[Cr_am_total_randomized+patients]]</f>
        <v>0.14666666666666667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 t="s">
        <v>54</v>
      </c>
      <c r="BI103" t="s">
        <v>54</v>
      </c>
    </row>
    <row r="104" spans="1:61" x14ac:dyDescent="0.2">
      <c r="A104" t="s">
        <v>306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48</v>
      </c>
      <c r="N104">
        <v>1</v>
      </c>
      <c r="O104">
        <v>0.51388888888888884</v>
      </c>
      <c r="P104" t="s">
        <v>56</v>
      </c>
      <c r="Q104" t="s">
        <v>56</v>
      </c>
      <c r="R104">
        <v>2</v>
      </c>
      <c r="S104">
        <v>1</v>
      </c>
      <c r="T104" t="s">
        <v>51</v>
      </c>
      <c r="U104" t="s">
        <v>52</v>
      </c>
      <c r="V104" t="s">
        <v>53</v>
      </c>
      <c r="W104">
        <v>349</v>
      </c>
      <c r="X104">
        <v>300</v>
      </c>
      <c r="Y104">
        <v>0.85959885386819479</v>
      </c>
      <c r="Z104">
        <v>16</v>
      </c>
      <c r="AA104">
        <v>36</v>
      </c>
      <c r="AB104">
        <v>195</v>
      </c>
      <c r="AC104">
        <v>17</v>
      </c>
      <c r="AD104">
        <v>0</v>
      </c>
      <c r="AE104">
        <v>0</v>
      </c>
      <c r="AF104">
        <v>5</v>
      </c>
      <c r="AG104">
        <v>0</v>
      </c>
      <c r="AH104">
        <v>0</v>
      </c>
      <c r="AJ104">
        <v>31</v>
      </c>
      <c r="AK104">
        <v>0</v>
      </c>
      <c r="AL104">
        <v>6.0171919770773637E-2</v>
      </c>
      <c r="AN104">
        <v>8</v>
      </c>
      <c r="AO104" s="3">
        <v>0</v>
      </c>
      <c r="AQ104">
        <v>233</v>
      </c>
      <c r="AR104">
        <f>(Table2[[#This Row],[Tx_Arm_Patinet_Withdrawal_Consent]]+Table2[[#This Row],[Tx_am_lost_fu]]+Table2[[#This Row],[Tx_arm_noncomp]])/Table2[[#This Row],[Tx_arm_randomized_to_tx]]</f>
        <v>3.4334763948497854E-2</v>
      </c>
      <c r="AS104">
        <v>4</v>
      </c>
      <c r="AT104">
        <v>0</v>
      </c>
      <c r="AU104">
        <v>0</v>
      </c>
      <c r="AV104">
        <v>116</v>
      </c>
      <c r="AW104">
        <f>(Table2[[#This Row],[Cr_arm_patient_withdrawal_consent]]+Table2[[#This Row],[Cr_arm_lost_fu]]+Table2[[#This Row],[Cr_am_noncomp]])/Table2[[#This Row],[Cr_am_total_randomized+patients]]</f>
        <v>3.4482758620689655E-2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54</v>
      </c>
      <c r="BI104" t="s">
        <v>54</v>
      </c>
    </row>
    <row r="105" spans="1:61" x14ac:dyDescent="0.2">
      <c r="A105" t="s">
        <v>282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48</v>
      </c>
      <c r="N105">
        <v>1</v>
      </c>
      <c r="O105">
        <v>1.666666666666667E-2</v>
      </c>
      <c r="P105" t="s">
        <v>56</v>
      </c>
      <c r="Q105" t="s">
        <v>50</v>
      </c>
      <c r="R105">
        <v>3</v>
      </c>
      <c r="S105">
        <v>0</v>
      </c>
      <c r="T105" t="s">
        <v>51</v>
      </c>
      <c r="U105" t="s">
        <v>52</v>
      </c>
      <c r="V105" t="s">
        <v>53</v>
      </c>
      <c r="W105">
        <v>1010</v>
      </c>
      <c r="X105">
        <v>710</v>
      </c>
      <c r="Y105">
        <v>0.70297029702970293</v>
      </c>
      <c r="Z105">
        <v>49</v>
      </c>
      <c r="AA105">
        <v>148</v>
      </c>
      <c r="AB105">
        <v>482</v>
      </c>
      <c r="AC105">
        <v>3</v>
      </c>
      <c r="AD105">
        <v>11</v>
      </c>
      <c r="AE105">
        <v>2</v>
      </c>
      <c r="AF105">
        <v>9</v>
      </c>
      <c r="AG105">
        <v>0</v>
      </c>
      <c r="AH105">
        <v>0</v>
      </c>
      <c r="AJ105">
        <v>6</v>
      </c>
      <c r="AK105">
        <v>0</v>
      </c>
      <c r="AL105">
        <v>5.7425742574257428E-2</v>
      </c>
      <c r="AN105">
        <v>23</v>
      </c>
      <c r="AO105" s="3">
        <v>0</v>
      </c>
      <c r="AP105">
        <v>1</v>
      </c>
      <c r="AQ105">
        <v>658</v>
      </c>
      <c r="AR105">
        <f>(Table2[[#This Row],[Tx_Arm_Patinet_Withdrawal_Consent]]+Table2[[#This Row],[Tx_am_lost_fu]]+Table2[[#This Row],[Tx_arm_noncomp]])/Table2[[#This Row],[Tx_arm_randomized_to_tx]]</f>
        <v>3.64741641337386E-2</v>
      </c>
      <c r="AS105">
        <v>14</v>
      </c>
      <c r="AV105">
        <v>352</v>
      </c>
      <c r="AW105">
        <f>(Table2[[#This Row],[Cr_arm_patient_withdrawal_consent]]+Table2[[#This Row],[Cr_arm_lost_fu]]+Table2[[#This Row],[Cr_am_noncomp]])/Table2[[#This Row],[Cr_am_total_randomized+patients]]</f>
        <v>3.9772727272727272E-2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57</v>
      </c>
      <c r="BI105" t="s">
        <v>63</v>
      </c>
    </row>
    <row r="106" spans="1:61" x14ac:dyDescent="0.2">
      <c r="A106" t="s">
        <v>91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48</v>
      </c>
      <c r="N106">
        <v>1</v>
      </c>
      <c r="O106">
        <v>5.333333333333333</v>
      </c>
      <c r="P106" t="s">
        <v>56</v>
      </c>
      <c r="Q106" t="s">
        <v>56</v>
      </c>
      <c r="R106">
        <v>1</v>
      </c>
      <c r="S106">
        <v>1</v>
      </c>
      <c r="T106" t="s">
        <v>51</v>
      </c>
      <c r="U106" t="s">
        <v>52</v>
      </c>
      <c r="V106" t="s">
        <v>53</v>
      </c>
      <c r="W106">
        <v>731</v>
      </c>
      <c r="X106">
        <v>656</v>
      </c>
      <c r="Y106">
        <v>0.89740082079343364</v>
      </c>
      <c r="Z106">
        <v>66</v>
      </c>
      <c r="AA106">
        <v>80</v>
      </c>
      <c r="AB106">
        <v>421</v>
      </c>
      <c r="AC106">
        <v>0</v>
      </c>
      <c r="AD106">
        <v>0</v>
      </c>
      <c r="AE106">
        <v>6</v>
      </c>
      <c r="AF106">
        <v>6</v>
      </c>
      <c r="AG106">
        <v>67</v>
      </c>
      <c r="AH106">
        <v>4</v>
      </c>
      <c r="AJ106">
        <v>6</v>
      </c>
      <c r="AK106">
        <v>0</v>
      </c>
      <c r="AL106">
        <v>0.1039671682626539</v>
      </c>
      <c r="AN106">
        <v>36</v>
      </c>
      <c r="AO106" s="3">
        <v>0</v>
      </c>
      <c r="AQ106">
        <v>364</v>
      </c>
      <c r="AR106">
        <f>(Table2[[#This Row],[Tx_Arm_Patinet_Withdrawal_Consent]]+Table2[[#This Row],[Tx_am_lost_fu]]+Table2[[#This Row],[Tx_arm_noncomp]])/Table2[[#This Row],[Tx_arm_randomized_to_tx]]</f>
        <v>9.8901098901098897E-2</v>
      </c>
      <c r="AS106">
        <v>49</v>
      </c>
      <c r="AV106">
        <v>367</v>
      </c>
      <c r="AW106">
        <f>(Table2[[#This Row],[Cr_arm_patient_withdrawal_consent]]+Table2[[#This Row],[Cr_arm_lost_fu]]+Table2[[#This Row],[Cr_am_noncomp]])/Table2[[#This Row],[Cr_am_total_randomized+patients]]</f>
        <v>0.1335149863760218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54</v>
      </c>
      <c r="BI106" t="s">
        <v>54</v>
      </c>
    </row>
    <row r="107" spans="1:61" x14ac:dyDescent="0.2">
      <c r="A107" t="s">
        <v>328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48</v>
      </c>
      <c r="N107">
        <v>1</v>
      </c>
      <c r="O107">
        <v>2.9777777777777779</v>
      </c>
      <c r="P107" t="s">
        <v>56</v>
      </c>
      <c r="Q107" t="s">
        <v>56</v>
      </c>
      <c r="R107">
        <v>2</v>
      </c>
      <c r="S107">
        <v>1</v>
      </c>
      <c r="T107" t="s">
        <v>51</v>
      </c>
      <c r="U107" t="s">
        <v>52</v>
      </c>
      <c r="V107" t="s">
        <v>53</v>
      </c>
      <c r="W107">
        <v>315</v>
      </c>
      <c r="X107">
        <v>13</v>
      </c>
      <c r="Y107">
        <v>4.1269841269841269E-2</v>
      </c>
      <c r="Z107">
        <v>5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4</v>
      </c>
      <c r="AJ107">
        <v>0</v>
      </c>
      <c r="AK107">
        <v>0</v>
      </c>
      <c r="AL107">
        <v>2.8571428571428571E-2</v>
      </c>
      <c r="AN107">
        <v>2</v>
      </c>
      <c r="AO107" s="3">
        <v>1</v>
      </c>
      <c r="AQ107">
        <v>157</v>
      </c>
      <c r="AR107">
        <f>(Table2[[#This Row],[Tx_Arm_Patinet_Withdrawal_Consent]]+Table2[[#This Row],[Tx_am_lost_fu]]+Table2[[#This Row],[Tx_arm_noncomp]])/Table2[[#This Row],[Tx_arm_randomized_to_tx]]</f>
        <v>1.9108280254777069E-2</v>
      </c>
      <c r="AS107">
        <v>3</v>
      </c>
      <c r="AT107">
        <v>3</v>
      </c>
      <c r="AV107">
        <v>158</v>
      </c>
      <c r="AW107">
        <f>(Table2[[#This Row],[Cr_arm_patient_withdrawal_consent]]+Table2[[#This Row],[Cr_arm_lost_fu]]+Table2[[#This Row],[Cr_am_noncomp]])/Table2[[#This Row],[Cr_am_total_randomized+patients]]</f>
        <v>3.7974683544303799E-2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54</v>
      </c>
      <c r="BI107" t="s">
        <v>57</v>
      </c>
    </row>
    <row r="108" spans="1:61" x14ac:dyDescent="0.2">
      <c r="A108" t="s">
        <v>146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48</v>
      </c>
      <c r="N108">
        <v>1</v>
      </c>
      <c r="O108">
        <v>13.14722222222222</v>
      </c>
      <c r="P108" t="s">
        <v>50</v>
      </c>
      <c r="Q108" t="s">
        <v>50</v>
      </c>
      <c r="R108">
        <v>2</v>
      </c>
      <c r="S108">
        <v>0</v>
      </c>
      <c r="T108" t="s">
        <v>51</v>
      </c>
      <c r="U108" t="s">
        <v>52</v>
      </c>
      <c r="V108" t="s">
        <v>53</v>
      </c>
      <c r="W108">
        <v>1213</v>
      </c>
      <c r="X108">
        <v>1010</v>
      </c>
      <c r="Y108">
        <v>0.83264633140972799</v>
      </c>
      <c r="Z108">
        <v>89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2</v>
      </c>
      <c r="AG108">
        <v>891</v>
      </c>
      <c r="AH108">
        <v>27</v>
      </c>
      <c r="AJ108">
        <v>0</v>
      </c>
      <c r="AK108">
        <v>0</v>
      </c>
      <c r="AL108">
        <v>9.7279472382522672E-2</v>
      </c>
      <c r="AN108">
        <v>50</v>
      </c>
      <c r="AO108" s="3">
        <v>0</v>
      </c>
      <c r="AQ108">
        <v>813</v>
      </c>
      <c r="AR108">
        <f>(Table2[[#This Row],[Tx_Arm_Patinet_Withdrawal_Consent]]+Table2[[#This Row],[Tx_am_lost_fu]]+Table2[[#This Row],[Tx_arm_noncomp]])/Table2[[#This Row],[Tx_arm_randomized_to_tx]]</f>
        <v>6.1500615006150061E-2</v>
      </c>
      <c r="AS108">
        <v>39</v>
      </c>
      <c r="AV108">
        <v>400</v>
      </c>
      <c r="AW108">
        <f>(Table2[[#This Row],[Cr_arm_patient_withdrawal_consent]]+Table2[[#This Row],[Cr_arm_lost_fu]]+Table2[[#This Row],[Cr_am_noncomp]])/Table2[[#This Row],[Cr_am_total_randomized+patients]]</f>
        <v>9.7500000000000003E-2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 t="s">
        <v>54</v>
      </c>
      <c r="BI108" t="s">
        <v>54</v>
      </c>
    </row>
    <row r="109" spans="1:61" x14ac:dyDescent="0.2">
      <c r="A109" t="s">
        <v>165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 t="s">
        <v>48</v>
      </c>
      <c r="N109">
        <v>1</v>
      </c>
      <c r="O109">
        <v>4.7666666666666666</v>
      </c>
      <c r="P109" t="s">
        <v>50</v>
      </c>
      <c r="Q109" t="s">
        <v>50</v>
      </c>
      <c r="R109">
        <v>1</v>
      </c>
      <c r="S109">
        <v>1</v>
      </c>
      <c r="T109" t="s">
        <v>51</v>
      </c>
      <c r="U109" t="s">
        <v>52</v>
      </c>
      <c r="V109" t="s">
        <v>53</v>
      </c>
      <c r="W109">
        <v>1306</v>
      </c>
      <c r="X109">
        <v>1305</v>
      </c>
      <c r="Y109">
        <v>0.99923430321592654</v>
      </c>
      <c r="Z109">
        <v>66</v>
      </c>
      <c r="AA109">
        <v>126</v>
      </c>
      <c r="AB109">
        <v>630</v>
      </c>
      <c r="AC109">
        <v>0</v>
      </c>
      <c r="AD109">
        <v>0</v>
      </c>
      <c r="AE109">
        <v>0</v>
      </c>
      <c r="AF109">
        <v>38</v>
      </c>
      <c r="AG109">
        <v>14</v>
      </c>
      <c r="AH109">
        <v>6</v>
      </c>
      <c r="AJ109">
        <v>56</v>
      </c>
      <c r="AK109">
        <v>0</v>
      </c>
      <c r="AL109">
        <v>8.4226646248085763E-2</v>
      </c>
      <c r="AN109">
        <v>26</v>
      </c>
      <c r="AO109" s="3">
        <v>0</v>
      </c>
      <c r="AQ109">
        <v>651</v>
      </c>
      <c r="AR109">
        <f>(Table2[[#This Row],[Tx_Arm_Patinet_Withdrawal_Consent]]+Table2[[#This Row],[Tx_am_lost_fu]]+Table2[[#This Row],[Tx_arm_noncomp]])/Table2[[#This Row],[Tx_arm_randomized_to_tx]]</f>
        <v>3.9938556067588324E-2</v>
      </c>
      <c r="AS109">
        <v>40</v>
      </c>
      <c r="AV109">
        <v>654</v>
      </c>
      <c r="AW109">
        <f>(Table2[[#This Row],[Cr_arm_patient_withdrawal_consent]]+Table2[[#This Row],[Cr_arm_lost_fu]]+Table2[[#This Row],[Cr_am_noncomp]])/Table2[[#This Row],[Cr_am_total_randomized+patients]]</f>
        <v>6.1162079510703363E-2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54</v>
      </c>
      <c r="BI109" t="s">
        <v>54</v>
      </c>
    </row>
    <row r="110" spans="1:61" x14ac:dyDescent="0.2">
      <c r="A110" t="s">
        <v>196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48</v>
      </c>
      <c r="N110">
        <v>1</v>
      </c>
      <c r="O110">
        <v>0.31666666666666671</v>
      </c>
      <c r="P110" t="s">
        <v>56</v>
      </c>
      <c r="Q110" t="s">
        <v>56</v>
      </c>
      <c r="R110">
        <v>2</v>
      </c>
      <c r="S110">
        <v>0</v>
      </c>
      <c r="T110" t="s">
        <v>51</v>
      </c>
      <c r="U110" t="s">
        <v>52</v>
      </c>
      <c r="V110" t="s">
        <v>53</v>
      </c>
      <c r="W110">
        <v>363</v>
      </c>
      <c r="X110">
        <v>358</v>
      </c>
      <c r="Y110">
        <v>0.98622589531680438</v>
      </c>
      <c r="Z110">
        <v>25</v>
      </c>
      <c r="AA110">
        <v>21</v>
      </c>
      <c r="AB110">
        <v>165</v>
      </c>
      <c r="AC110">
        <v>0</v>
      </c>
      <c r="AD110">
        <v>0</v>
      </c>
      <c r="AE110">
        <v>3</v>
      </c>
      <c r="AF110">
        <v>1</v>
      </c>
      <c r="AG110">
        <v>143</v>
      </c>
      <c r="AH110">
        <v>0</v>
      </c>
      <c r="AJ110">
        <v>0</v>
      </c>
      <c r="AK110">
        <v>0</v>
      </c>
      <c r="AL110">
        <v>7.1625344352617082E-2</v>
      </c>
      <c r="AN110">
        <v>7</v>
      </c>
      <c r="AO110" s="3">
        <v>0</v>
      </c>
      <c r="AQ110">
        <v>180</v>
      </c>
      <c r="AR110">
        <f>(Table2[[#This Row],[Tx_Arm_Patinet_Withdrawal_Consent]]+Table2[[#This Row],[Tx_am_lost_fu]]+Table2[[#This Row],[Tx_arm_noncomp]])/Table2[[#This Row],[Tx_arm_randomized_to_tx]]</f>
        <v>3.888888888888889E-2</v>
      </c>
      <c r="AS110">
        <v>11</v>
      </c>
      <c r="AV110">
        <v>183</v>
      </c>
      <c r="AW110">
        <f>(Table2[[#This Row],[Cr_arm_patient_withdrawal_consent]]+Table2[[#This Row],[Cr_arm_lost_fu]]+Table2[[#This Row],[Cr_am_noncomp]])/Table2[[#This Row],[Cr_am_total_randomized+patients]]</f>
        <v>6.0109289617486336E-2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54</v>
      </c>
      <c r="BI110" t="s">
        <v>54</v>
      </c>
    </row>
    <row r="111" spans="1:61" x14ac:dyDescent="0.2">
      <c r="A111" s="4" t="s">
        <v>337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60</v>
      </c>
      <c r="N111">
        <v>0</v>
      </c>
      <c r="O111">
        <v>4.125</v>
      </c>
      <c r="P111" t="s">
        <v>56</v>
      </c>
      <c r="Q111" t="s">
        <v>56</v>
      </c>
      <c r="R111">
        <v>2</v>
      </c>
      <c r="S111">
        <v>0</v>
      </c>
      <c r="T111" t="s">
        <v>247</v>
      </c>
      <c r="U111" t="s">
        <v>52</v>
      </c>
      <c r="V111" t="s">
        <v>53</v>
      </c>
      <c r="W111">
        <v>41</v>
      </c>
      <c r="X111">
        <v>41</v>
      </c>
      <c r="Y111">
        <v>1</v>
      </c>
      <c r="Z111" s="6">
        <v>1</v>
      </c>
      <c r="AA111" s="6">
        <v>4</v>
      </c>
      <c r="AB111" s="6">
        <v>33</v>
      </c>
      <c r="AC111" s="6">
        <v>1</v>
      </c>
      <c r="AD111" s="6">
        <v>0</v>
      </c>
      <c r="AE111" s="6">
        <v>0</v>
      </c>
      <c r="AF111" s="6">
        <v>0</v>
      </c>
      <c r="AG111" s="6">
        <v>1</v>
      </c>
      <c r="AH111" s="6">
        <v>0</v>
      </c>
      <c r="AI111" s="6"/>
      <c r="AJ111" s="6">
        <v>1</v>
      </c>
      <c r="AK111" s="6">
        <v>0</v>
      </c>
      <c r="AL111">
        <v>2.4390243902439025E-2</v>
      </c>
      <c r="AN111">
        <v>1</v>
      </c>
      <c r="AO111" s="3">
        <v>0</v>
      </c>
      <c r="AQ111">
        <v>31</v>
      </c>
      <c r="AR111">
        <f>(Table2[[#This Row],[Tx_Arm_Patinet_Withdrawal_Consent]]+Table2[[#This Row],[Tx_am_lost_fu]]+Table2[[#This Row],[Tx_arm_noncomp]])/Table2[[#This Row],[Tx_arm_randomized_to_tx]]</f>
        <v>3.2258064516129031E-2</v>
      </c>
      <c r="AS111">
        <v>0</v>
      </c>
      <c r="AV111">
        <v>10</v>
      </c>
      <c r="AW111">
        <f>(Table2[[#This Row],[Cr_arm_patient_withdrawal_consent]]+Table2[[#This Row],[Cr_arm_lost_fu]]+Table2[[#This Row],[Cr_am_noncomp]])/Table2[[#This Row],[Cr_am_total_randomized+patients]]</f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 t="s">
        <v>54</v>
      </c>
      <c r="BI111" t="s">
        <v>63</v>
      </c>
    </row>
    <row r="112" spans="1:61" x14ac:dyDescent="0.2">
      <c r="A112" s="5" t="s">
        <v>80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 t="s">
        <v>60</v>
      </c>
      <c r="N112">
        <v>0</v>
      </c>
      <c r="O112">
        <v>2.3194444444444451</v>
      </c>
      <c r="P112" t="s">
        <v>56</v>
      </c>
      <c r="Q112" t="s">
        <v>50</v>
      </c>
      <c r="R112">
        <v>3</v>
      </c>
      <c r="S112">
        <v>0</v>
      </c>
      <c r="T112" t="s">
        <v>51</v>
      </c>
      <c r="U112" t="s">
        <v>52</v>
      </c>
      <c r="V112" t="s">
        <v>53</v>
      </c>
      <c r="W112">
        <v>123</v>
      </c>
      <c r="X112">
        <v>123</v>
      </c>
      <c r="Y112">
        <v>1</v>
      </c>
      <c r="Z112">
        <v>11</v>
      </c>
      <c r="AA112">
        <v>24</v>
      </c>
      <c r="AB112">
        <v>59</v>
      </c>
      <c r="AC112">
        <v>0</v>
      </c>
      <c r="AD112">
        <v>0</v>
      </c>
      <c r="AE112">
        <v>0</v>
      </c>
      <c r="AF112">
        <v>11</v>
      </c>
      <c r="AG112">
        <v>0</v>
      </c>
      <c r="AH112">
        <v>0</v>
      </c>
      <c r="AJ112">
        <v>18</v>
      </c>
      <c r="AK112">
        <v>0</v>
      </c>
      <c r="AL112">
        <v>0.17886178861788618</v>
      </c>
      <c r="AM112" t="s">
        <v>384</v>
      </c>
      <c r="AN112">
        <v>2</v>
      </c>
      <c r="AQ112">
        <v>43</v>
      </c>
      <c r="AR112" s="8">
        <f>(Table2[[#This Row],[Tx_Arm_Patinet_Withdrawal_Consent]]+Table2[[#This Row],[Tx_am_lost_fu]]+Table2[[#This Row],[Tx_arm_noncomp]])/Table2[[#This Row],[Tx_arm_randomized_to_tx]]</f>
        <v>4.6511627906976744E-2</v>
      </c>
      <c r="AS112" t="s">
        <v>373</v>
      </c>
      <c r="AT112" t="s">
        <v>373</v>
      </c>
      <c r="AU112" t="s">
        <v>373</v>
      </c>
      <c r="AV112" t="s">
        <v>373</v>
      </c>
      <c r="AW112" s="8" t="e">
        <f>(Table2[[#This Row],[Cr_arm_patient_withdrawal_consent]]+Table2[[#This Row],[Cr_arm_lost_fu]]+Table2[[#This Row],[Cr_am_noncomp]])/Table2[[#This Row],[Cr_am_total_randomized+patients]]</f>
        <v>#VALUE!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54</v>
      </c>
      <c r="BI112" t="s">
        <v>54</v>
      </c>
    </row>
    <row r="113" spans="1:61" x14ac:dyDescent="0.2">
      <c r="A113" t="s">
        <v>323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48</v>
      </c>
      <c r="N113">
        <v>1</v>
      </c>
      <c r="O113">
        <v>0.35833333333333328</v>
      </c>
      <c r="P113" t="s">
        <v>50</v>
      </c>
      <c r="Q113" t="s">
        <v>50</v>
      </c>
      <c r="R113">
        <v>2</v>
      </c>
      <c r="S113">
        <v>0</v>
      </c>
      <c r="T113" t="s">
        <v>51</v>
      </c>
      <c r="U113" t="s">
        <v>52</v>
      </c>
      <c r="V113" t="s">
        <v>53</v>
      </c>
      <c r="W113">
        <v>559</v>
      </c>
      <c r="X113">
        <v>559</v>
      </c>
      <c r="Y113">
        <v>1</v>
      </c>
      <c r="Z113">
        <v>13</v>
      </c>
      <c r="AA113">
        <v>59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420</v>
      </c>
      <c r="AH113">
        <v>4</v>
      </c>
      <c r="AJ113">
        <v>0</v>
      </c>
      <c r="AK113">
        <v>63</v>
      </c>
      <c r="AL113">
        <v>3.041144901610018E-2</v>
      </c>
      <c r="AN113">
        <v>4</v>
      </c>
      <c r="AO113" s="3">
        <v>0</v>
      </c>
      <c r="AQ113">
        <v>278</v>
      </c>
      <c r="AR113">
        <f>(Table2[[#This Row],[Tx_Arm_Patinet_Withdrawal_Consent]]+Table2[[#This Row],[Tx_am_lost_fu]]+Table2[[#This Row],[Tx_arm_noncomp]])/Table2[[#This Row],[Tx_arm_randomized_to_tx]]</f>
        <v>1.4388489208633094E-2</v>
      </c>
      <c r="AS113">
        <v>9</v>
      </c>
      <c r="AV113">
        <v>281</v>
      </c>
      <c r="AW113">
        <f>(Table2[[#This Row],[Cr_arm_patient_withdrawal_consent]]+Table2[[#This Row],[Cr_arm_lost_fu]]+Table2[[#This Row],[Cr_am_noncomp]])/Table2[[#This Row],[Cr_am_total_randomized+patients]]</f>
        <v>3.2028469750889681E-2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 t="s">
        <v>54</v>
      </c>
      <c r="BI113" t="s">
        <v>54</v>
      </c>
    </row>
    <row r="114" spans="1:61" x14ac:dyDescent="0.2">
      <c r="A114" t="s">
        <v>88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69</v>
      </c>
      <c r="N114">
        <v>0</v>
      </c>
      <c r="O114">
        <v>5.5888888888888886</v>
      </c>
      <c r="P114" t="s">
        <v>61</v>
      </c>
      <c r="Q114" t="s">
        <v>56</v>
      </c>
      <c r="R114">
        <v>3</v>
      </c>
      <c r="S114">
        <v>0</v>
      </c>
      <c r="T114" t="s">
        <v>51</v>
      </c>
      <c r="U114" t="s">
        <v>52</v>
      </c>
      <c r="V114" t="s">
        <v>53</v>
      </c>
      <c r="W114">
        <v>157</v>
      </c>
      <c r="X114">
        <v>62</v>
      </c>
      <c r="Y114">
        <v>0.39490445859872614</v>
      </c>
      <c r="Z114">
        <v>14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26</v>
      </c>
      <c r="AH114">
        <v>11</v>
      </c>
      <c r="AJ114">
        <v>11</v>
      </c>
      <c r="AK114">
        <v>0</v>
      </c>
      <c r="AL114">
        <v>0.15923566878980891</v>
      </c>
      <c r="AN114">
        <v>14</v>
      </c>
      <c r="AO114" s="3">
        <v>0</v>
      </c>
      <c r="AQ114">
        <v>157</v>
      </c>
      <c r="AR114">
        <f>(Table2[[#This Row],[Tx_Arm_Patinet_Withdrawal_Consent]]+Table2[[#This Row],[Tx_am_lost_fu]]+Table2[[#This Row],[Tx_arm_noncomp]])/Table2[[#This Row],[Tx_arm_randomized_to_tx]]</f>
        <v>8.9171974522292988E-2</v>
      </c>
      <c r="AS114" t="s">
        <v>373</v>
      </c>
      <c r="AT114" t="s">
        <v>373</v>
      </c>
      <c r="AU114" t="s">
        <v>373</v>
      </c>
      <c r="AV114" t="s">
        <v>49</v>
      </c>
      <c r="AW114" t="e">
        <f>(Table2[[#This Row],[Cr_arm_patient_withdrawal_consent]]+Table2[[#This Row],[Cr_arm_lost_fu]]+Table2[[#This Row],[Cr_am_noncomp]])/Table2[[#This Row],[Cr_am_total_randomized+patients]]</f>
        <v>#VALUE!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 t="s">
        <v>54</v>
      </c>
      <c r="BI114" t="s">
        <v>63</v>
      </c>
    </row>
    <row r="115" spans="1:61" x14ac:dyDescent="0.2">
      <c r="A115" t="s">
        <v>213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 t="s">
        <v>48</v>
      </c>
      <c r="N115">
        <v>1</v>
      </c>
      <c r="O115">
        <v>0.14166666666666669</v>
      </c>
      <c r="P115" t="s">
        <v>50</v>
      </c>
      <c r="Q115" t="s">
        <v>50</v>
      </c>
      <c r="R115">
        <v>3</v>
      </c>
      <c r="S115">
        <v>0</v>
      </c>
      <c r="T115" t="s">
        <v>51</v>
      </c>
      <c r="U115" t="s">
        <v>52</v>
      </c>
      <c r="V115" t="s">
        <v>53</v>
      </c>
      <c r="W115">
        <v>503</v>
      </c>
      <c r="X115">
        <v>333</v>
      </c>
      <c r="Y115">
        <v>0.66202783300198809</v>
      </c>
      <c r="Z115">
        <v>30</v>
      </c>
      <c r="AA115">
        <v>0</v>
      </c>
      <c r="AB115">
        <v>0</v>
      </c>
      <c r="AC115">
        <v>0</v>
      </c>
      <c r="AD115">
        <v>0</v>
      </c>
      <c r="AE115">
        <v>4</v>
      </c>
      <c r="AF115">
        <v>0</v>
      </c>
      <c r="AG115">
        <v>296</v>
      </c>
      <c r="AH115">
        <v>3</v>
      </c>
      <c r="AJ115">
        <v>0</v>
      </c>
      <c r="AK115">
        <v>0</v>
      </c>
      <c r="AL115">
        <v>6.560636182902585E-2</v>
      </c>
      <c r="AN115">
        <v>18</v>
      </c>
      <c r="AO115" s="3">
        <v>0</v>
      </c>
      <c r="AQ115">
        <v>201</v>
      </c>
      <c r="AR115">
        <f>(Table2[[#This Row],[Tx_Arm_Patinet_Withdrawal_Consent]]+Table2[[#This Row],[Tx_am_lost_fu]]+Table2[[#This Row],[Tx_arm_noncomp]])/Table2[[#This Row],[Tx_arm_randomized_to_tx]]</f>
        <v>8.9552238805970144E-2</v>
      </c>
      <c r="AS115">
        <v>12</v>
      </c>
      <c r="AV115">
        <v>202</v>
      </c>
      <c r="AW115">
        <f>(Table2[[#This Row],[Cr_arm_patient_withdrawal_consent]]+Table2[[#This Row],[Cr_arm_lost_fu]]+Table2[[#This Row],[Cr_am_noncomp]])/Table2[[#This Row],[Cr_am_total_randomized+patients]]</f>
        <v>5.9405940594059403E-2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54</v>
      </c>
      <c r="BI115" t="s">
        <v>54</v>
      </c>
    </row>
    <row r="116" spans="1:61" x14ac:dyDescent="0.2">
      <c r="A116" t="s">
        <v>318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 t="s">
        <v>69</v>
      </c>
      <c r="N116">
        <v>0</v>
      </c>
      <c r="O116">
        <v>0.23333333333333331</v>
      </c>
      <c r="P116" t="s">
        <v>56</v>
      </c>
      <c r="Q116" t="s">
        <v>56</v>
      </c>
      <c r="R116">
        <v>2</v>
      </c>
      <c r="S116">
        <v>1</v>
      </c>
      <c r="T116" t="s">
        <v>51</v>
      </c>
      <c r="U116" t="s">
        <v>52</v>
      </c>
      <c r="V116" t="s">
        <v>53</v>
      </c>
      <c r="W116">
        <v>258</v>
      </c>
      <c r="X116">
        <v>134</v>
      </c>
      <c r="Y116">
        <v>0.51937984496124034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70</v>
      </c>
      <c r="AH116">
        <v>3</v>
      </c>
      <c r="AJ116">
        <v>59</v>
      </c>
      <c r="AK116">
        <v>0</v>
      </c>
      <c r="AL116">
        <v>1.937984496124031E-2</v>
      </c>
      <c r="AN116">
        <v>2</v>
      </c>
      <c r="AO116" s="3">
        <v>0</v>
      </c>
      <c r="AQ116">
        <v>258</v>
      </c>
      <c r="AR116">
        <f>(Table2[[#This Row],[Tx_Arm_Patinet_Withdrawal_Consent]]+Table2[[#This Row],[Tx_am_lost_fu]]+Table2[[#This Row],[Tx_arm_noncomp]])/Table2[[#This Row],[Tx_arm_randomized_to_tx]]</f>
        <v>7.7519379844961239E-3</v>
      </c>
      <c r="AS116" t="s">
        <v>373</v>
      </c>
      <c r="AT116" t="s">
        <v>373</v>
      </c>
      <c r="AU116" t="s">
        <v>373</v>
      </c>
      <c r="AV116" t="s">
        <v>373</v>
      </c>
      <c r="AW116" t="e">
        <f>(Table2[[#This Row],[Cr_arm_patient_withdrawal_consent]]+Table2[[#This Row],[Cr_arm_lost_fu]]+Table2[[#This Row],[Cr_am_noncomp]])/Table2[[#This Row],[Cr_am_total_randomized+patients]]</f>
        <v>#VALUE!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54</v>
      </c>
      <c r="BI116" t="s">
        <v>63</v>
      </c>
    </row>
    <row r="117" spans="1:61" x14ac:dyDescent="0.2">
      <c r="A117" t="s">
        <v>174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 t="s">
        <v>48</v>
      </c>
      <c r="N117">
        <v>1</v>
      </c>
      <c r="O117">
        <v>1.958333333333333</v>
      </c>
      <c r="P117" t="s">
        <v>50</v>
      </c>
      <c r="Q117" t="s">
        <v>50</v>
      </c>
      <c r="R117">
        <v>1</v>
      </c>
      <c r="S117">
        <v>1</v>
      </c>
      <c r="T117" t="s">
        <v>51</v>
      </c>
      <c r="U117" t="s">
        <v>52</v>
      </c>
      <c r="V117" t="s">
        <v>53</v>
      </c>
      <c r="W117">
        <v>291</v>
      </c>
      <c r="X117">
        <v>196</v>
      </c>
      <c r="Y117">
        <v>0.67353951890034369</v>
      </c>
      <c r="Z117">
        <v>19</v>
      </c>
      <c r="AA117">
        <v>39</v>
      </c>
      <c r="AB117">
        <v>111</v>
      </c>
      <c r="AC117">
        <v>0</v>
      </c>
      <c r="AD117">
        <v>0</v>
      </c>
      <c r="AE117">
        <v>15</v>
      </c>
      <c r="AF117">
        <v>4</v>
      </c>
      <c r="AG117">
        <v>6</v>
      </c>
      <c r="AH117">
        <v>0</v>
      </c>
      <c r="AJ117">
        <v>2</v>
      </c>
      <c r="AK117">
        <v>0</v>
      </c>
      <c r="AL117">
        <v>7.903780068728522E-2</v>
      </c>
      <c r="AN117">
        <v>15</v>
      </c>
      <c r="AO117" s="3">
        <v>0</v>
      </c>
      <c r="AQ117">
        <v>194</v>
      </c>
      <c r="AR117">
        <f>(Table2[[#This Row],[Tx_Arm_Patinet_Withdrawal_Consent]]+Table2[[#This Row],[Tx_am_lost_fu]]+Table2[[#This Row],[Tx_arm_noncomp]])/Table2[[#This Row],[Tx_arm_randomized_to_tx]]</f>
        <v>7.7319587628865982E-2</v>
      </c>
      <c r="AS117">
        <v>4</v>
      </c>
      <c r="AV117">
        <v>97</v>
      </c>
      <c r="AW117">
        <f>(Table2[[#This Row],[Cr_arm_patient_withdrawal_consent]]+Table2[[#This Row],[Cr_arm_lost_fu]]+Table2[[#This Row],[Cr_am_noncomp]])/Table2[[#This Row],[Cr_am_total_randomized+patients]]</f>
        <v>4.1237113402061855E-2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57</v>
      </c>
      <c r="BI117" t="s">
        <v>63</v>
      </c>
    </row>
    <row r="118" spans="1:61" x14ac:dyDescent="0.2">
      <c r="A118" t="s">
        <v>119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 t="s">
        <v>48</v>
      </c>
      <c r="N118">
        <v>1</v>
      </c>
      <c r="O118">
        <v>4.083333333333333</v>
      </c>
      <c r="P118" t="s">
        <v>50</v>
      </c>
      <c r="Q118" t="s">
        <v>50</v>
      </c>
      <c r="R118">
        <v>1</v>
      </c>
      <c r="S118">
        <v>1</v>
      </c>
      <c r="T118" t="s">
        <v>51</v>
      </c>
      <c r="U118" t="s">
        <v>52</v>
      </c>
      <c r="V118" t="s">
        <v>53</v>
      </c>
      <c r="W118">
        <v>1253</v>
      </c>
      <c r="X118">
        <v>1205</v>
      </c>
      <c r="Y118">
        <v>0.96169193934557062</v>
      </c>
      <c r="Z118">
        <v>151</v>
      </c>
      <c r="AA118">
        <v>66</v>
      </c>
      <c r="AB118">
        <v>907</v>
      </c>
      <c r="AC118">
        <v>19</v>
      </c>
      <c r="AD118">
        <v>0</v>
      </c>
      <c r="AE118">
        <v>0</v>
      </c>
      <c r="AF118">
        <v>0</v>
      </c>
      <c r="AG118">
        <v>22</v>
      </c>
      <c r="AH118">
        <v>0</v>
      </c>
      <c r="AJ118">
        <v>40</v>
      </c>
      <c r="AK118">
        <v>0</v>
      </c>
      <c r="AL118">
        <v>0.12051077414205906</v>
      </c>
      <c r="AN118">
        <v>63</v>
      </c>
      <c r="AO118" s="3">
        <v>0</v>
      </c>
      <c r="AQ118">
        <v>624</v>
      </c>
      <c r="AR118">
        <f>(Table2[[#This Row],[Tx_Arm_Patinet_Withdrawal_Consent]]+Table2[[#This Row],[Tx_am_lost_fu]]+Table2[[#This Row],[Tx_arm_noncomp]])/Table2[[#This Row],[Tx_arm_randomized_to_tx]]</f>
        <v>0.10096153846153846</v>
      </c>
      <c r="AS118">
        <v>88</v>
      </c>
      <c r="AV118">
        <v>629</v>
      </c>
      <c r="AW118">
        <f>(Table2[[#This Row],[Cr_arm_patient_withdrawal_consent]]+Table2[[#This Row],[Cr_arm_lost_fu]]+Table2[[#This Row],[Cr_am_noncomp]])/Table2[[#This Row],[Cr_am_total_randomized+patients]]</f>
        <v>0.13990461049284578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54</v>
      </c>
      <c r="BI118" t="s">
        <v>63</v>
      </c>
    </row>
    <row r="119" spans="1:61" x14ac:dyDescent="0.2">
      <c r="A119" t="s">
        <v>340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 t="s">
        <v>48</v>
      </c>
      <c r="N119">
        <v>1</v>
      </c>
      <c r="O119">
        <v>0.3527777777777778</v>
      </c>
      <c r="P119" t="s">
        <v>56</v>
      </c>
      <c r="Q119" t="s">
        <v>56</v>
      </c>
      <c r="R119">
        <v>1</v>
      </c>
      <c r="S119">
        <v>1</v>
      </c>
      <c r="T119" t="s">
        <v>51</v>
      </c>
      <c r="U119" t="s">
        <v>52</v>
      </c>
      <c r="V119" t="s">
        <v>53</v>
      </c>
      <c r="W119">
        <v>706</v>
      </c>
      <c r="X119">
        <v>299</v>
      </c>
      <c r="Y119">
        <v>0.42351274787535409</v>
      </c>
      <c r="Z119">
        <v>19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275</v>
      </c>
      <c r="AH119">
        <v>5</v>
      </c>
      <c r="AJ119">
        <v>0</v>
      </c>
      <c r="AK119">
        <v>0</v>
      </c>
      <c r="AL119">
        <v>3.39943342776204E-2</v>
      </c>
      <c r="AN119">
        <v>4</v>
      </c>
      <c r="AO119" s="3">
        <v>0</v>
      </c>
      <c r="AP119">
        <v>1</v>
      </c>
      <c r="AQ119">
        <v>354</v>
      </c>
      <c r="AR119">
        <f>(Table2[[#This Row],[Tx_Arm_Patinet_Withdrawal_Consent]]+Table2[[#This Row],[Tx_am_lost_fu]]+Table2[[#This Row],[Tx_arm_noncomp]])/Table2[[#This Row],[Tx_arm_randomized_to_tx]]</f>
        <v>1.4124293785310734E-2</v>
      </c>
      <c r="AS119">
        <v>3</v>
      </c>
      <c r="AU119">
        <v>3</v>
      </c>
      <c r="AV119">
        <v>352</v>
      </c>
      <c r="AW119">
        <f>(Table2[[#This Row],[Cr_arm_patient_withdrawal_consent]]+Table2[[#This Row],[Cr_arm_lost_fu]]+Table2[[#This Row],[Cr_am_noncomp]])/Table2[[#This Row],[Cr_am_total_randomized+patients]]</f>
        <v>1.7045454545454544E-2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57</v>
      </c>
      <c r="BI119" t="s">
        <v>57</v>
      </c>
    </row>
    <row r="120" spans="1:61" x14ac:dyDescent="0.2">
      <c r="A120" t="s">
        <v>356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 t="s">
        <v>48</v>
      </c>
      <c r="N120">
        <v>1</v>
      </c>
      <c r="O120">
        <v>3.0916666666666668</v>
      </c>
      <c r="P120" t="s">
        <v>56</v>
      </c>
      <c r="Q120" t="s">
        <v>56</v>
      </c>
      <c r="R120">
        <v>2</v>
      </c>
      <c r="S120">
        <v>1</v>
      </c>
      <c r="T120" t="s">
        <v>51</v>
      </c>
      <c r="U120" t="s">
        <v>52</v>
      </c>
      <c r="V120" t="s">
        <v>53</v>
      </c>
      <c r="W120">
        <v>256</v>
      </c>
      <c r="X120">
        <v>15</v>
      </c>
      <c r="Y120">
        <v>5.859375E-2</v>
      </c>
      <c r="Z120">
        <v>2</v>
      </c>
      <c r="AA120">
        <v>4</v>
      </c>
      <c r="AB120">
        <v>4</v>
      </c>
      <c r="AC120">
        <v>0</v>
      </c>
      <c r="AD120">
        <v>0</v>
      </c>
      <c r="AE120">
        <v>0</v>
      </c>
      <c r="AF120">
        <v>3</v>
      </c>
      <c r="AG120">
        <v>0</v>
      </c>
      <c r="AH120">
        <v>0</v>
      </c>
      <c r="AJ120">
        <v>2</v>
      </c>
      <c r="AK120">
        <v>0</v>
      </c>
      <c r="AL120">
        <v>1.953125E-2</v>
      </c>
      <c r="AN120">
        <v>1</v>
      </c>
      <c r="AO120" s="3">
        <v>0</v>
      </c>
      <c r="AP120">
        <v>1</v>
      </c>
      <c r="AQ120">
        <v>128</v>
      </c>
      <c r="AR120">
        <f>(Table2[[#This Row],[Tx_Arm_Patinet_Withdrawal_Consent]]+Table2[[#This Row],[Tx_am_lost_fu]]+Table2[[#This Row],[Tx_arm_noncomp]])/Table2[[#This Row],[Tx_arm_randomized_to_tx]]</f>
        <v>1.5625E-2</v>
      </c>
      <c r="AS120">
        <v>1</v>
      </c>
      <c r="AU120">
        <v>2</v>
      </c>
      <c r="AV120">
        <v>128</v>
      </c>
      <c r="AW120">
        <f>(Table2[[#This Row],[Cr_arm_patient_withdrawal_consent]]+Table2[[#This Row],[Cr_arm_lost_fu]]+Table2[[#This Row],[Cr_am_noncomp]])/Table2[[#This Row],[Cr_am_total_randomized+patients]]</f>
        <v>2.34375E-2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54</v>
      </c>
      <c r="BI120" t="s">
        <v>54</v>
      </c>
    </row>
    <row r="121" spans="1:61" x14ac:dyDescent="0.2">
      <c r="A121" t="s">
        <v>338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 t="s">
        <v>48</v>
      </c>
      <c r="N121">
        <v>1</v>
      </c>
      <c r="O121">
        <v>6.6666666666666666E-2</v>
      </c>
      <c r="P121" t="s">
        <v>50</v>
      </c>
      <c r="Q121" t="s">
        <v>50</v>
      </c>
      <c r="R121">
        <v>2</v>
      </c>
      <c r="S121">
        <v>0</v>
      </c>
      <c r="T121" t="s">
        <v>51</v>
      </c>
      <c r="U121" t="s">
        <v>52</v>
      </c>
      <c r="V121" t="s">
        <v>53</v>
      </c>
      <c r="W121">
        <v>947</v>
      </c>
      <c r="X121">
        <v>947</v>
      </c>
      <c r="Y121">
        <v>1</v>
      </c>
      <c r="Z121">
        <v>73</v>
      </c>
      <c r="AA121">
        <v>102</v>
      </c>
      <c r="AB121">
        <v>596</v>
      </c>
      <c r="AC121">
        <v>68</v>
      </c>
      <c r="AD121">
        <v>0</v>
      </c>
      <c r="AE121">
        <v>9</v>
      </c>
      <c r="AF121">
        <v>3</v>
      </c>
      <c r="AG121">
        <v>17</v>
      </c>
      <c r="AH121">
        <v>6</v>
      </c>
      <c r="AI121">
        <v>10</v>
      </c>
      <c r="AJ121">
        <v>63</v>
      </c>
      <c r="AK121">
        <v>0</v>
      </c>
      <c r="AL121">
        <v>8.6589229144667365E-2</v>
      </c>
      <c r="AN121">
        <v>0</v>
      </c>
      <c r="AO121" s="3">
        <v>0</v>
      </c>
      <c r="AQ121">
        <v>472</v>
      </c>
      <c r="AR121">
        <f>(Table2[[#This Row],[Tx_Arm_Patinet_Withdrawal_Consent]]+Table2[[#This Row],[Tx_am_lost_fu]]+Table2[[#This Row],[Tx_arm_noncomp]])/Table2[[#This Row],[Tx_arm_randomized_to_tx]]</f>
        <v>0</v>
      </c>
      <c r="AS121">
        <v>20</v>
      </c>
      <c r="AV121">
        <v>475</v>
      </c>
      <c r="AW121">
        <f>(Table2[[#This Row],[Cr_arm_patient_withdrawal_consent]]+Table2[[#This Row],[Cr_arm_lost_fu]]+Table2[[#This Row],[Cr_am_noncomp]])/Table2[[#This Row],[Cr_am_total_randomized+patients]]</f>
        <v>4.2105263157894736E-2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54</v>
      </c>
      <c r="BI121" t="s">
        <v>63</v>
      </c>
    </row>
    <row r="122" spans="1:61" x14ac:dyDescent="0.2">
      <c r="A122" t="s">
        <v>121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48</v>
      </c>
      <c r="N122">
        <v>1</v>
      </c>
      <c r="O122">
        <v>0.31944444444444442</v>
      </c>
      <c r="P122" t="s">
        <v>56</v>
      </c>
      <c r="Q122" t="s">
        <v>56</v>
      </c>
      <c r="R122">
        <v>2</v>
      </c>
      <c r="S122">
        <v>0</v>
      </c>
      <c r="T122" t="s">
        <v>51</v>
      </c>
      <c r="U122" t="s">
        <v>52</v>
      </c>
      <c r="V122" t="s">
        <v>53</v>
      </c>
      <c r="W122">
        <v>275</v>
      </c>
      <c r="X122">
        <v>226</v>
      </c>
      <c r="Y122">
        <v>0.82181818181818178</v>
      </c>
      <c r="Z122">
        <v>31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92</v>
      </c>
      <c r="AH122">
        <v>1</v>
      </c>
      <c r="AJ122">
        <v>1</v>
      </c>
      <c r="AK122">
        <v>74</v>
      </c>
      <c r="AL122">
        <v>0.12</v>
      </c>
      <c r="AN122">
        <v>2</v>
      </c>
      <c r="AO122" s="3">
        <v>0</v>
      </c>
      <c r="AQ122">
        <v>137</v>
      </c>
      <c r="AR122">
        <f>(Table2[[#This Row],[Tx_Arm_Patinet_Withdrawal_Consent]]+Table2[[#This Row],[Tx_am_lost_fu]]+Table2[[#This Row],[Tx_arm_noncomp]])/Table2[[#This Row],[Tx_arm_randomized_to_tx]]</f>
        <v>1.4598540145985401E-2</v>
      </c>
      <c r="AS122">
        <v>2</v>
      </c>
      <c r="AV122">
        <v>138</v>
      </c>
      <c r="AW122">
        <f>(Table2[[#This Row],[Cr_arm_patient_withdrawal_consent]]+Table2[[#This Row],[Cr_arm_lost_fu]]+Table2[[#This Row],[Cr_am_noncomp]])/Table2[[#This Row],[Cr_am_total_randomized+patients]]</f>
        <v>1.4492753623188406E-2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54</v>
      </c>
      <c r="BI122" t="s">
        <v>63</v>
      </c>
    </row>
    <row r="123" spans="1:61" x14ac:dyDescent="0.2">
      <c r="A123" t="s">
        <v>252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 t="s">
        <v>48</v>
      </c>
      <c r="N123">
        <v>1</v>
      </c>
      <c r="O123">
        <v>0.4</v>
      </c>
      <c r="P123" t="s">
        <v>50</v>
      </c>
      <c r="Q123" t="s">
        <v>50</v>
      </c>
      <c r="R123">
        <v>2</v>
      </c>
      <c r="S123">
        <v>0</v>
      </c>
      <c r="T123" t="s">
        <v>51</v>
      </c>
      <c r="U123" t="s">
        <v>52</v>
      </c>
      <c r="V123" t="s">
        <v>53</v>
      </c>
      <c r="W123">
        <v>170</v>
      </c>
      <c r="X123">
        <v>166</v>
      </c>
      <c r="Y123">
        <v>0.97647058823529409</v>
      </c>
      <c r="Z123">
        <v>8</v>
      </c>
      <c r="AA123">
        <v>10</v>
      </c>
      <c r="AB123">
        <v>113</v>
      </c>
      <c r="AC123">
        <v>0</v>
      </c>
      <c r="AD123">
        <v>0</v>
      </c>
      <c r="AE123">
        <v>1</v>
      </c>
      <c r="AF123">
        <v>1</v>
      </c>
      <c r="AG123">
        <v>1</v>
      </c>
      <c r="AH123">
        <v>0</v>
      </c>
      <c r="AJ123">
        <v>32</v>
      </c>
      <c r="AK123">
        <v>0</v>
      </c>
      <c r="AL123">
        <v>5.2941176470588235E-2</v>
      </c>
      <c r="AN123">
        <v>6</v>
      </c>
      <c r="AO123" s="3">
        <v>0</v>
      </c>
      <c r="AQ123">
        <v>96</v>
      </c>
      <c r="AR123">
        <f>(Table2[[#This Row],[Tx_Arm_Patinet_Withdrawal_Consent]]+Table2[[#This Row],[Tx_am_lost_fu]]+Table2[[#This Row],[Tx_arm_noncomp]])/Table2[[#This Row],[Tx_arm_randomized_to_tx]]</f>
        <v>6.25E-2</v>
      </c>
      <c r="AS123">
        <v>2</v>
      </c>
      <c r="AT123">
        <v>0</v>
      </c>
      <c r="AU123">
        <v>0</v>
      </c>
      <c r="AV123">
        <v>70</v>
      </c>
      <c r="AW123">
        <f>(Table2[[#This Row],[Cr_arm_patient_withdrawal_consent]]+Table2[[#This Row],[Cr_arm_lost_fu]]+Table2[[#This Row],[Cr_am_noncomp]])/Table2[[#This Row],[Cr_am_total_randomized+patients]]</f>
        <v>2.8571428571428571E-2</v>
      </c>
      <c r="AX123">
        <v>0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54</v>
      </c>
      <c r="BI123" t="s">
        <v>63</v>
      </c>
    </row>
    <row r="124" spans="1:61" x14ac:dyDescent="0.2">
      <c r="A124" t="s">
        <v>70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 t="s">
        <v>48</v>
      </c>
      <c r="N124">
        <v>1</v>
      </c>
      <c r="O124">
        <v>9.7222222222222224E-2</v>
      </c>
      <c r="P124" t="s">
        <v>50</v>
      </c>
      <c r="Q124" t="s">
        <v>50</v>
      </c>
      <c r="R124">
        <v>2</v>
      </c>
      <c r="S124">
        <v>0</v>
      </c>
      <c r="T124" t="s">
        <v>51</v>
      </c>
      <c r="U124" t="s">
        <v>52</v>
      </c>
      <c r="V124" t="s">
        <v>53</v>
      </c>
      <c r="W124">
        <v>385</v>
      </c>
      <c r="X124">
        <v>375</v>
      </c>
      <c r="Y124">
        <v>0.97402597402597402</v>
      </c>
      <c r="Z124">
        <v>23</v>
      </c>
      <c r="AA124">
        <v>116</v>
      </c>
      <c r="AB124">
        <v>122</v>
      </c>
      <c r="AC124">
        <v>20</v>
      </c>
      <c r="AD124">
        <v>0</v>
      </c>
      <c r="AE124">
        <v>1</v>
      </c>
      <c r="AF124">
        <v>56</v>
      </c>
      <c r="AG124">
        <v>0</v>
      </c>
      <c r="AH124">
        <v>0</v>
      </c>
      <c r="AJ124">
        <v>14</v>
      </c>
      <c r="AK124">
        <v>0</v>
      </c>
      <c r="AL124">
        <v>0.20519480519480521</v>
      </c>
      <c r="AN124">
        <v>2</v>
      </c>
      <c r="AO124" s="3">
        <v>0</v>
      </c>
      <c r="AQ124">
        <v>180</v>
      </c>
      <c r="AR124">
        <f>(Table2[[#This Row],[Tx_Arm_Patinet_Withdrawal_Consent]]+Table2[[#This Row],[Tx_am_lost_fu]]+Table2[[#This Row],[Tx_arm_noncomp]])/Table2[[#This Row],[Tx_arm_randomized_to_tx]]</f>
        <v>1.1111111111111112E-2</v>
      </c>
      <c r="AS124">
        <v>4</v>
      </c>
      <c r="AV124">
        <v>180</v>
      </c>
      <c r="AW124">
        <f>(Table2[[#This Row],[Cr_arm_patient_withdrawal_consent]]+Table2[[#This Row],[Cr_arm_lost_fu]]+Table2[[#This Row],[Cr_am_noncomp]])/Table2[[#This Row],[Cr_am_total_randomized+patients]]</f>
        <v>2.2222222222222223E-2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54</v>
      </c>
      <c r="BI124" t="s">
        <v>63</v>
      </c>
    </row>
    <row r="125" spans="1:61" x14ac:dyDescent="0.2">
      <c r="A125" t="s">
        <v>219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48</v>
      </c>
      <c r="N125">
        <v>1</v>
      </c>
      <c r="O125">
        <v>2.4750000000000001</v>
      </c>
      <c r="P125" t="s">
        <v>56</v>
      </c>
      <c r="Q125" t="s">
        <v>50</v>
      </c>
      <c r="R125">
        <v>2</v>
      </c>
      <c r="S125">
        <v>1</v>
      </c>
      <c r="T125" t="s">
        <v>51</v>
      </c>
      <c r="U125" t="s">
        <v>52</v>
      </c>
      <c r="V125" t="s">
        <v>53</v>
      </c>
      <c r="W125">
        <v>363</v>
      </c>
      <c r="X125">
        <v>23</v>
      </c>
      <c r="Y125">
        <v>6.3360881542699726E-2</v>
      </c>
      <c r="Z125">
        <v>18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</v>
      </c>
      <c r="AJ125">
        <v>0</v>
      </c>
      <c r="AK125">
        <v>0</v>
      </c>
      <c r="AL125">
        <v>6.3360881542699726E-2</v>
      </c>
      <c r="AN125">
        <v>11</v>
      </c>
      <c r="AO125" s="3">
        <v>0</v>
      </c>
      <c r="AQ125">
        <v>178</v>
      </c>
      <c r="AR125">
        <f>(Table2[[#This Row],[Tx_Arm_Patinet_Withdrawal_Consent]]+Table2[[#This Row],[Tx_am_lost_fu]]+Table2[[#This Row],[Tx_arm_noncomp]])/Table2[[#This Row],[Tx_arm_randomized_to_tx]]</f>
        <v>6.1797752808988762E-2</v>
      </c>
      <c r="AS125">
        <v>14</v>
      </c>
      <c r="AV125">
        <v>180</v>
      </c>
      <c r="AW125">
        <f>(Table2[[#This Row],[Cr_arm_patient_withdrawal_consent]]+Table2[[#This Row],[Cr_arm_lost_fu]]+Table2[[#This Row],[Cr_am_noncomp]])/Table2[[#This Row],[Cr_am_total_randomized+patients]]</f>
        <v>7.7777777777777779E-2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54</v>
      </c>
      <c r="BI125" t="s">
        <v>63</v>
      </c>
    </row>
    <row r="126" spans="1:61" x14ac:dyDescent="0.2">
      <c r="A126" t="s">
        <v>170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 t="s">
        <v>48</v>
      </c>
      <c r="N126">
        <v>1</v>
      </c>
      <c r="O126">
        <v>1.388888888888889E-2</v>
      </c>
      <c r="P126" t="s">
        <v>50</v>
      </c>
      <c r="Q126" t="s">
        <v>50</v>
      </c>
      <c r="R126">
        <v>1</v>
      </c>
      <c r="S126">
        <v>1</v>
      </c>
      <c r="T126" t="s">
        <v>51</v>
      </c>
      <c r="U126" t="s">
        <v>52</v>
      </c>
      <c r="V126" t="s">
        <v>53</v>
      </c>
      <c r="W126">
        <v>249</v>
      </c>
      <c r="X126">
        <v>249</v>
      </c>
      <c r="Y126">
        <v>1</v>
      </c>
      <c r="Z126">
        <v>20</v>
      </c>
      <c r="AA126">
        <v>33</v>
      </c>
      <c r="AB126">
        <v>169</v>
      </c>
      <c r="AC126">
        <v>0</v>
      </c>
      <c r="AD126">
        <v>0</v>
      </c>
      <c r="AE126">
        <v>5</v>
      </c>
      <c r="AF126">
        <v>0</v>
      </c>
      <c r="AG126">
        <v>15</v>
      </c>
      <c r="AH126">
        <v>0</v>
      </c>
      <c r="AJ126">
        <v>7</v>
      </c>
      <c r="AK126">
        <v>0</v>
      </c>
      <c r="AL126">
        <v>8.0321285140562249E-2</v>
      </c>
      <c r="AN126">
        <v>8</v>
      </c>
      <c r="AO126" s="3">
        <v>0</v>
      </c>
      <c r="AQ126">
        <v>125</v>
      </c>
      <c r="AR126">
        <f>(Table2[[#This Row],[Tx_Arm_Patinet_Withdrawal_Consent]]+Table2[[#This Row],[Tx_am_lost_fu]]+Table2[[#This Row],[Tx_arm_noncomp]])/Table2[[#This Row],[Tx_arm_randomized_to_tx]]</f>
        <v>6.4000000000000001E-2</v>
      </c>
      <c r="AS126">
        <v>12</v>
      </c>
      <c r="AV126">
        <v>124</v>
      </c>
      <c r="AW126">
        <f>(Table2[[#This Row],[Cr_arm_patient_withdrawal_consent]]+Table2[[#This Row],[Cr_arm_lost_fu]]+Table2[[#This Row],[Cr_am_noncomp]])/Table2[[#This Row],[Cr_am_total_randomized+patients]]</f>
        <v>9.6774193548387094E-2</v>
      </c>
      <c r="AX126">
        <v>0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57</v>
      </c>
      <c r="BI126" t="s">
        <v>63</v>
      </c>
    </row>
    <row r="127" spans="1:61" x14ac:dyDescent="0.2">
      <c r="A127" t="s">
        <v>339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48</v>
      </c>
      <c r="N127">
        <v>1</v>
      </c>
      <c r="O127">
        <v>0.34722222222222221</v>
      </c>
      <c r="P127" t="s">
        <v>50</v>
      </c>
      <c r="Q127" t="s">
        <v>50</v>
      </c>
      <c r="R127">
        <v>1</v>
      </c>
      <c r="S127">
        <v>1</v>
      </c>
      <c r="T127" t="s">
        <v>51</v>
      </c>
      <c r="U127" t="s">
        <v>52</v>
      </c>
      <c r="V127" t="s">
        <v>53</v>
      </c>
      <c r="W127">
        <v>413</v>
      </c>
      <c r="X127">
        <v>413</v>
      </c>
      <c r="Y127">
        <v>1</v>
      </c>
      <c r="Z127">
        <v>20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25</v>
      </c>
      <c r="AG127">
        <v>367</v>
      </c>
      <c r="AH127">
        <v>1</v>
      </c>
      <c r="AJ127">
        <v>0</v>
      </c>
      <c r="AK127">
        <v>0</v>
      </c>
      <c r="AL127">
        <v>0.11138014527845036</v>
      </c>
      <c r="AN127">
        <v>6</v>
      </c>
      <c r="AO127" s="3">
        <v>0</v>
      </c>
      <c r="AQ127">
        <v>278</v>
      </c>
      <c r="AR127">
        <f>(Table2[[#This Row],[Tx_Arm_Patinet_Withdrawal_Consent]]+Table2[[#This Row],[Tx_am_lost_fu]]+Table2[[#This Row],[Tx_arm_noncomp]])/Table2[[#This Row],[Tx_arm_randomized_to_tx]]</f>
        <v>2.1582733812949641E-2</v>
      </c>
      <c r="AS127">
        <v>3</v>
      </c>
      <c r="AV127">
        <v>135</v>
      </c>
      <c r="AW127">
        <f>(Table2[[#This Row],[Cr_arm_patient_withdrawal_consent]]+Table2[[#This Row],[Cr_arm_lost_fu]]+Table2[[#This Row],[Cr_am_noncomp]])/Table2[[#This Row],[Cr_am_total_randomized+patients]]</f>
        <v>2.2222222222222223E-2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54</v>
      </c>
      <c r="BI127" t="s">
        <v>63</v>
      </c>
    </row>
    <row r="128" spans="1:61" x14ac:dyDescent="0.2">
      <c r="A128" s="5" t="s">
        <v>301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 t="s">
        <v>48</v>
      </c>
      <c r="N128">
        <v>1</v>
      </c>
      <c r="O128">
        <v>0.2722222222222222</v>
      </c>
      <c r="P128" t="s">
        <v>50</v>
      </c>
      <c r="Q128" t="s">
        <v>50</v>
      </c>
      <c r="R128">
        <v>2</v>
      </c>
      <c r="S128">
        <v>0</v>
      </c>
      <c r="T128" t="s">
        <v>51</v>
      </c>
      <c r="U128" t="s">
        <v>52</v>
      </c>
      <c r="V128" t="s">
        <v>53</v>
      </c>
      <c r="W128">
        <v>539</v>
      </c>
      <c r="X128">
        <v>431</v>
      </c>
      <c r="Y128">
        <v>0.79962894248608529</v>
      </c>
      <c r="Z128">
        <v>48</v>
      </c>
      <c r="AA128">
        <v>81</v>
      </c>
      <c r="AB128">
        <v>220</v>
      </c>
      <c r="AC128">
        <v>0</v>
      </c>
      <c r="AD128">
        <v>0</v>
      </c>
      <c r="AE128">
        <v>17</v>
      </c>
      <c r="AF128">
        <v>35</v>
      </c>
      <c r="AG128">
        <v>1</v>
      </c>
      <c r="AH128">
        <v>1</v>
      </c>
      <c r="AJ128">
        <v>28</v>
      </c>
      <c r="AK128">
        <v>0</v>
      </c>
      <c r="AL128">
        <v>0.15584415584415584</v>
      </c>
      <c r="AM128" t="s">
        <v>384</v>
      </c>
      <c r="AN128">
        <v>25</v>
      </c>
      <c r="AQ128">
        <v>268</v>
      </c>
      <c r="AR128" s="8">
        <f>(Table2[[#This Row],[Tx_Arm_Patinet_Withdrawal_Consent]]+Table2[[#This Row],[Tx_am_lost_fu]]+Table2[[#This Row],[Tx_arm_noncomp]])/Table2[[#This Row],[Tx_arm_randomized_to_tx]]</f>
        <v>9.3283582089552244E-2</v>
      </c>
      <c r="AS128">
        <v>23</v>
      </c>
      <c r="AV128">
        <v>271</v>
      </c>
      <c r="AW128" s="8">
        <f>(Table2[[#This Row],[Cr_arm_patient_withdrawal_consent]]+Table2[[#This Row],[Cr_arm_lost_fu]]+Table2[[#This Row],[Cr_am_noncomp]])/Table2[[#This Row],[Cr_am_total_randomized+patients]]</f>
        <v>8.4870848708487087E-2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54</v>
      </c>
      <c r="BI128" t="s">
        <v>54</v>
      </c>
    </row>
    <row r="129" spans="1:61" x14ac:dyDescent="0.2">
      <c r="A129" t="s">
        <v>344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48</v>
      </c>
      <c r="N129">
        <v>1</v>
      </c>
      <c r="O129">
        <v>0.43611111111111112</v>
      </c>
      <c r="P129" t="s">
        <v>50</v>
      </c>
      <c r="Q129" t="s">
        <v>50</v>
      </c>
      <c r="R129">
        <v>2</v>
      </c>
      <c r="S129">
        <v>1</v>
      </c>
      <c r="T129" t="s">
        <v>51</v>
      </c>
      <c r="U129" t="s">
        <v>52</v>
      </c>
      <c r="V129" t="s">
        <v>53</v>
      </c>
      <c r="W129">
        <v>716</v>
      </c>
      <c r="X129">
        <v>635</v>
      </c>
      <c r="Y129">
        <v>0.88687150837988826</v>
      </c>
      <c r="Z129">
        <v>63</v>
      </c>
      <c r="AA129">
        <v>92</v>
      </c>
      <c r="AB129">
        <v>399</v>
      </c>
      <c r="AC129">
        <v>0</v>
      </c>
      <c r="AD129">
        <v>0</v>
      </c>
      <c r="AE129">
        <v>7</v>
      </c>
      <c r="AF129">
        <v>1</v>
      </c>
      <c r="AG129">
        <v>3</v>
      </c>
      <c r="AH129">
        <v>4</v>
      </c>
      <c r="AJ129">
        <v>66</v>
      </c>
      <c r="AK129">
        <v>0</v>
      </c>
      <c r="AL129">
        <v>9.4972067039106142E-2</v>
      </c>
      <c r="AN129">
        <v>5</v>
      </c>
      <c r="AO129" s="3">
        <v>0</v>
      </c>
      <c r="AQ129">
        <v>358</v>
      </c>
      <c r="AR129">
        <f>(Table2[[#This Row],[Tx_Arm_Patinet_Withdrawal_Consent]]+Table2[[#This Row],[Tx_am_lost_fu]]+Table2[[#This Row],[Tx_arm_noncomp]])/Table2[[#This Row],[Tx_arm_randomized_to_tx]]</f>
        <v>1.3966480446927373E-2</v>
      </c>
      <c r="AS129">
        <v>7</v>
      </c>
      <c r="AV129">
        <v>358</v>
      </c>
      <c r="AW129">
        <f>(Table2[[#This Row],[Cr_arm_patient_withdrawal_consent]]+Table2[[#This Row],[Cr_arm_lost_fu]]+Table2[[#This Row],[Cr_am_noncomp]])/Table2[[#This Row],[Cr_am_total_randomized+patients]]</f>
        <v>1.9553072625698324E-2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 t="s">
        <v>54</v>
      </c>
      <c r="BI129" t="s">
        <v>63</v>
      </c>
    </row>
    <row r="130" spans="1:61" x14ac:dyDescent="0.2">
      <c r="A130" s="5" t="s">
        <v>161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 t="s">
        <v>48</v>
      </c>
      <c r="N130">
        <v>1</v>
      </c>
      <c r="O130">
        <v>6.3444444444444441</v>
      </c>
      <c r="P130" t="s">
        <v>56</v>
      </c>
      <c r="Q130" t="s">
        <v>50</v>
      </c>
      <c r="R130">
        <v>1</v>
      </c>
      <c r="S130">
        <v>1</v>
      </c>
      <c r="T130" t="s">
        <v>51</v>
      </c>
      <c r="U130" t="s">
        <v>52</v>
      </c>
      <c r="V130" t="s">
        <v>53</v>
      </c>
      <c r="W130">
        <v>578</v>
      </c>
      <c r="X130">
        <v>578</v>
      </c>
      <c r="Y130">
        <v>1</v>
      </c>
      <c r="Z130">
        <v>45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1</v>
      </c>
      <c r="AG130">
        <v>379</v>
      </c>
      <c r="AH130">
        <v>4</v>
      </c>
      <c r="AJ130">
        <v>2</v>
      </c>
      <c r="AK130">
        <v>146</v>
      </c>
      <c r="AL130">
        <v>8.6505190311418678E-2</v>
      </c>
      <c r="AM130" t="s">
        <v>385</v>
      </c>
      <c r="AN130">
        <v>17</v>
      </c>
      <c r="AQ130">
        <v>292</v>
      </c>
      <c r="AR130" s="8">
        <f>(Table2[[#This Row],[Tx_Arm_Patinet_Withdrawal_Consent]]+Table2[[#This Row],[Tx_am_lost_fu]]+Table2[[#This Row],[Tx_arm_noncomp]])/Table2[[#This Row],[Tx_arm_randomized_to_tx]]</f>
        <v>5.8219178082191778E-2</v>
      </c>
      <c r="AS130">
        <v>28</v>
      </c>
      <c r="AV130">
        <v>286</v>
      </c>
      <c r="AW130" s="8">
        <f>(Table2[[#This Row],[Cr_arm_patient_withdrawal_consent]]+Table2[[#This Row],[Cr_arm_lost_fu]]+Table2[[#This Row],[Cr_am_noncomp]])/Table2[[#This Row],[Cr_am_total_randomized+patients]]</f>
        <v>9.7902097902097904E-2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 t="s">
        <v>54</v>
      </c>
      <c r="BI130" t="s">
        <v>54</v>
      </c>
    </row>
    <row r="131" spans="1:61" x14ac:dyDescent="0.2">
      <c r="A131" t="s">
        <v>181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48</v>
      </c>
      <c r="N131">
        <v>1</v>
      </c>
      <c r="O131">
        <v>2.8361111111111108</v>
      </c>
      <c r="P131" t="s">
        <v>56</v>
      </c>
      <c r="Q131" t="s">
        <v>56</v>
      </c>
      <c r="R131">
        <v>2</v>
      </c>
      <c r="S131">
        <v>0</v>
      </c>
      <c r="T131" t="s">
        <v>51</v>
      </c>
      <c r="U131" t="s">
        <v>52</v>
      </c>
      <c r="V131" t="s">
        <v>53</v>
      </c>
      <c r="W131">
        <v>366</v>
      </c>
      <c r="X131">
        <v>182</v>
      </c>
      <c r="Y131">
        <v>0.49726775956284153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146</v>
      </c>
      <c r="AH131">
        <v>2</v>
      </c>
      <c r="AJ131">
        <v>8</v>
      </c>
      <c r="AK131">
        <v>0</v>
      </c>
      <c r="AL131">
        <v>7.650273224043716E-2</v>
      </c>
      <c r="AN131">
        <v>16</v>
      </c>
      <c r="AO131" s="3">
        <v>0</v>
      </c>
      <c r="AQ131">
        <v>248</v>
      </c>
      <c r="AR131">
        <f>(Table2[[#This Row],[Tx_Arm_Patinet_Withdrawal_Consent]]+Table2[[#This Row],[Tx_am_lost_fu]]+Table2[[#This Row],[Tx_arm_noncomp]])/Table2[[#This Row],[Tx_arm_randomized_to_tx]]</f>
        <v>6.4516129032258063E-2</v>
      </c>
      <c r="AS131">
        <v>9</v>
      </c>
      <c r="AV131">
        <v>118</v>
      </c>
      <c r="AW131">
        <f>(Table2[[#This Row],[Cr_arm_patient_withdrawal_consent]]+Table2[[#This Row],[Cr_arm_lost_fu]]+Table2[[#This Row],[Cr_am_noncomp]])/Table2[[#This Row],[Cr_am_total_randomized+patients]]</f>
        <v>7.6271186440677971E-2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 t="s">
        <v>54</v>
      </c>
      <c r="BI131" t="s">
        <v>54</v>
      </c>
    </row>
    <row r="132" spans="1:61" x14ac:dyDescent="0.2">
      <c r="A132" t="s">
        <v>263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48</v>
      </c>
      <c r="N132">
        <v>1</v>
      </c>
      <c r="O132" t="s">
        <v>49</v>
      </c>
      <c r="P132" t="s">
        <v>50</v>
      </c>
      <c r="Q132" t="s">
        <v>50</v>
      </c>
      <c r="R132">
        <v>2</v>
      </c>
      <c r="S132">
        <v>0</v>
      </c>
      <c r="T132" t="s">
        <v>51</v>
      </c>
      <c r="U132" t="s">
        <v>52</v>
      </c>
      <c r="V132" t="s">
        <v>53</v>
      </c>
      <c r="W132">
        <v>350</v>
      </c>
      <c r="X132">
        <v>307</v>
      </c>
      <c r="Y132">
        <v>0.87714285714285711</v>
      </c>
      <c r="Z132">
        <v>15</v>
      </c>
      <c r="AA132">
        <v>64</v>
      </c>
      <c r="AB132">
        <v>175</v>
      </c>
      <c r="AC132">
        <v>32</v>
      </c>
      <c r="AD132">
        <v>0</v>
      </c>
      <c r="AE132">
        <v>1</v>
      </c>
      <c r="AF132">
        <v>10</v>
      </c>
      <c r="AG132">
        <v>7</v>
      </c>
      <c r="AH132">
        <v>2</v>
      </c>
      <c r="AJ132">
        <v>1</v>
      </c>
      <c r="AK132">
        <v>0</v>
      </c>
      <c r="AL132">
        <v>7.7142857142857138E-2</v>
      </c>
      <c r="AN132">
        <v>6</v>
      </c>
      <c r="AO132" s="3">
        <v>0</v>
      </c>
      <c r="AQ132">
        <v>175</v>
      </c>
      <c r="AR132">
        <f>(Table2[[#This Row],[Tx_Arm_Patinet_Withdrawal_Consent]]+Table2[[#This Row],[Tx_am_lost_fu]]+Table2[[#This Row],[Tx_arm_noncomp]])/Table2[[#This Row],[Tx_arm_randomized_to_tx]]</f>
        <v>3.4285714285714287E-2</v>
      </c>
      <c r="AS132">
        <v>9</v>
      </c>
      <c r="AV132">
        <v>175</v>
      </c>
      <c r="AW132">
        <f>(Table2[[#This Row],[Cr_arm_patient_withdrawal_consent]]+Table2[[#This Row],[Cr_arm_lost_fu]]+Table2[[#This Row],[Cr_am_noncomp]])/Table2[[#This Row],[Cr_am_total_randomized+patients]]</f>
        <v>5.1428571428571428E-2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54</v>
      </c>
      <c r="BI132" t="s">
        <v>63</v>
      </c>
    </row>
    <row r="133" spans="1:61" x14ac:dyDescent="0.2">
      <c r="A133" t="s">
        <v>257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48</v>
      </c>
      <c r="N133">
        <v>1</v>
      </c>
      <c r="O133">
        <v>3.875</v>
      </c>
      <c r="P133" t="s">
        <v>56</v>
      </c>
      <c r="Q133" t="s">
        <v>50</v>
      </c>
      <c r="R133">
        <v>2</v>
      </c>
      <c r="S133">
        <v>0</v>
      </c>
      <c r="T133" t="s">
        <v>51</v>
      </c>
      <c r="U133" t="s">
        <v>52</v>
      </c>
      <c r="V133" t="s">
        <v>53</v>
      </c>
      <c r="W133">
        <v>371</v>
      </c>
      <c r="X133">
        <v>338</v>
      </c>
      <c r="Y133">
        <v>0.91105121293800539</v>
      </c>
      <c r="Z133">
        <v>15</v>
      </c>
      <c r="AA133">
        <v>17</v>
      </c>
      <c r="AB133">
        <v>273</v>
      </c>
      <c r="AC133">
        <v>0</v>
      </c>
      <c r="AD133">
        <v>0</v>
      </c>
      <c r="AE133">
        <v>3</v>
      </c>
      <c r="AF133">
        <v>0</v>
      </c>
      <c r="AG133">
        <v>22</v>
      </c>
      <c r="AH133">
        <v>1</v>
      </c>
      <c r="AJ133">
        <v>7</v>
      </c>
      <c r="AK133">
        <v>0</v>
      </c>
      <c r="AL133">
        <v>4.3126684636118601E-2</v>
      </c>
      <c r="AN133">
        <v>6</v>
      </c>
      <c r="AO133" s="3">
        <v>0</v>
      </c>
      <c r="AP133">
        <v>3</v>
      </c>
      <c r="AQ133">
        <v>186</v>
      </c>
      <c r="AR133">
        <f>(Table2[[#This Row],[Tx_Arm_Patinet_Withdrawal_Consent]]+Table2[[#This Row],[Tx_am_lost_fu]]+Table2[[#This Row],[Tx_arm_noncomp]])/Table2[[#This Row],[Tx_arm_randomized_to_tx]]</f>
        <v>4.8387096774193547E-2</v>
      </c>
      <c r="AS133">
        <v>9</v>
      </c>
      <c r="AT133">
        <v>1</v>
      </c>
      <c r="AU133">
        <v>0</v>
      </c>
      <c r="AV133">
        <v>185</v>
      </c>
      <c r="AW133">
        <f>(Table2[[#This Row],[Cr_arm_patient_withdrawal_consent]]+Table2[[#This Row],[Cr_arm_lost_fu]]+Table2[[#This Row],[Cr_am_noncomp]])/Table2[[#This Row],[Cr_am_total_randomized+patients]]</f>
        <v>5.4054054054054057E-2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57</v>
      </c>
      <c r="BI133" t="s">
        <v>57</v>
      </c>
    </row>
    <row r="134" spans="1:61" x14ac:dyDescent="0.2">
      <c r="A134" t="s">
        <v>203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 t="s">
        <v>48</v>
      </c>
      <c r="N134">
        <v>1</v>
      </c>
      <c r="O134">
        <v>0.48333333333333328</v>
      </c>
      <c r="P134" t="s">
        <v>56</v>
      </c>
      <c r="Q134" t="s">
        <v>56</v>
      </c>
      <c r="R134">
        <v>1</v>
      </c>
      <c r="S134">
        <v>1</v>
      </c>
      <c r="T134" t="s">
        <v>51</v>
      </c>
      <c r="U134" t="s">
        <v>52</v>
      </c>
      <c r="V134" t="s">
        <v>53</v>
      </c>
      <c r="W134">
        <v>499</v>
      </c>
      <c r="X134">
        <v>451</v>
      </c>
      <c r="Y134">
        <v>0.90380761523046094</v>
      </c>
      <c r="Z134">
        <v>31</v>
      </c>
      <c r="AA134">
        <v>61</v>
      </c>
      <c r="AB134">
        <v>323</v>
      </c>
      <c r="AC134">
        <v>0</v>
      </c>
      <c r="AD134">
        <v>0</v>
      </c>
      <c r="AE134">
        <v>0</v>
      </c>
      <c r="AF134">
        <v>3</v>
      </c>
      <c r="AG134">
        <v>13</v>
      </c>
      <c r="AH134">
        <v>1</v>
      </c>
      <c r="AJ134">
        <v>19</v>
      </c>
      <c r="AK134">
        <v>0</v>
      </c>
      <c r="AL134">
        <v>7.0140280561122245E-2</v>
      </c>
      <c r="AN134">
        <v>12</v>
      </c>
      <c r="AO134" s="3">
        <v>0</v>
      </c>
      <c r="AQ134">
        <v>249</v>
      </c>
      <c r="AR134">
        <f>(Table2[[#This Row],[Tx_Arm_Patinet_Withdrawal_Consent]]+Table2[[#This Row],[Tx_am_lost_fu]]+Table2[[#This Row],[Tx_arm_noncomp]])/Table2[[#This Row],[Tx_arm_randomized_to_tx]]</f>
        <v>4.8192771084337352E-2</v>
      </c>
      <c r="AS134">
        <v>19</v>
      </c>
      <c r="AV134">
        <v>250</v>
      </c>
      <c r="AW134">
        <f>(Table2[[#This Row],[Cr_arm_patient_withdrawal_consent]]+Table2[[#This Row],[Cr_arm_lost_fu]]+Table2[[#This Row],[Cr_am_noncomp]])/Table2[[#This Row],[Cr_am_total_randomized+patients]]</f>
        <v>7.5999999999999998E-2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57</v>
      </c>
      <c r="BI134" t="s">
        <v>63</v>
      </c>
    </row>
    <row r="135" spans="1:61" x14ac:dyDescent="0.2">
      <c r="A135" t="s">
        <v>147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48</v>
      </c>
      <c r="N135">
        <v>1</v>
      </c>
      <c r="O135">
        <v>4.1666666666666657E-2</v>
      </c>
      <c r="P135" t="s">
        <v>50</v>
      </c>
      <c r="Q135" t="s">
        <v>50</v>
      </c>
      <c r="R135">
        <v>2</v>
      </c>
      <c r="S135">
        <v>0</v>
      </c>
      <c r="T135" t="s">
        <v>51</v>
      </c>
      <c r="U135" t="s">
        <v>52</v>
      </c>
      <c r="V135" t="s">
        <v>53</v>
      </c>
      <c r="W135">
        <v>560</v>
      </c>
      <c r="X135">
        <v>486</v>
      </c>
      <c r="Y135">
        <v>0.86785714285714288</v>
      </c>
      <c r="Z135">
        <v>52</v>
      </c>
      <c r="AA135">
        <v>72</v>
      </c>
      <c r="AB135">
        <v>352</v>
      </c>
      <c r="AC135">
        <v>0</v>
      </c>
      <c r="AD135">
        <v>0</v>
      </c>
      <c r="AE135">
        <v>0</v>
      </c>
      <c r="AF135">
        <v>2</v>
      </c>
      <c r="AG135">
        <v>2</v>
      </c>
      <c r="AH135">
        <v>0</v>
      </c>
      <c r="AJ135">
        <v>6</v>
      </c>
      <c r="AK135">
        <v>0</v>
      </c>
      <c r="AL135">
        <v>9.6428571428571433E-2</v>
      </c>
      <c r="AN135">
        <v>2</v>
      </c>
      <c r="AO135" s="3">
        <v>0</v>
      </c>
      <c r="AQ135">
        <v>280</v>
      </c>
      <c r="AR135">
        <f>(Table2[[#This Row],[Tx_Arm_Patinet_Withdrawal_Consent]]+Table2[[#This Row],[Tx_am_lost_fu]]+Table2[[#This Row],[Tx_arm_noncomp]])/Table2[[#This Row],[Tx_arm_randomized_to_tx]]</f>
        <v>7.1428571428571426E-3</v>
      </c>
      <c r="AS135">
        <v>5</v>
      </c>
      <c r="AV135">
        <v>280</v>
      </c>
      <c r="AW135">
        <f>(Table2[[#This Row],[Cr_arm_patient_withdrawal_consent]]+Table2[[#This Row],[Cr_arm_lost_fu]]+Table2[[#This Row],[Cr_am_noncomp]])/Table2[[#This Row],[Cr_am_total_randomized+patients]]</f>
        <v>1.7857142857142856E-2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54</v>
      </c>
      <c r="BI135" t="s">
        <v>63</v>
      </c>
    </row>
    <row r="136" spans="1:61" x14ac:dyDescent="0.2">
      <c r="A136" s="5" t="s">
        <v>277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48</v>
      </c>
      <c r="N136">
        <v>1</v>
      </c>
      <c r="O136">
        <v>0.4</v>
      </c>
      <c r="P136" t="s">
        <v>56</v>
      </c>
      <c r="Q136" t="s">
        <v>56</v>
      </c>
      <c r="R136">
        <v>1</v>
      </c>
      <c r="S136">
        <v>1</v>
      </c>
      <c r="T136" t="s">
        <v>51</v>
      </c>
      <c r="U136" t="s">
        <v>52</v>
      </c>
      <c r="V136" t="s">
        <v>53</v>
      </c>
      <c r="W136">
        <v>639</v>
      </c>
      <c r="X136">
        <v>452</v>
      </c>
      <c r="Y136">
        <v>0.70735524256651017</v>
      </c>
      <c r="Z136">
        <v>27</v>
      </c>
      <c r="AA136">
        <v>29</v>
      </c>
      <c r="AB136">
        <v>346</v>
      </c>
      <c r="AC136">
        <v>0</v>
      </c>
      <c r="AD136">
        <v>0</v>
      </c>
      <c r="AE136">
        <v>1</v>
      </c>
      <c r="AF136">
        <v>0</v>
      </c>
      <c r="AG136">
        <v>3</v>
      </c>
      <c r="AH136">
        <v>1</v>
      </c>
      <c r="AJ136">
        <v>45</v>
      </c>
      <c r="AK136">
        <v>0</v>
      </c>
      <c r="AL136">
        <v>4.3818466353677622E-2</v>
      </c>
      <c r="AM136" t="s">
        <v>384</v>
      </c>
      <c r="AN136">
        <v>8</v>
      </c>
      <c r="AQ136">
        <v>338</v>
      </c>
      <c r="AR136" s="8">
        <f>(Table2[[#This Row],[Tx_Arm_Patinet_Withdrawal_Consent]]+Table2[[#This Row],[Tx_am_lost_fu]]+Table2[[#This Row],[Tx_arm_noncomp]])/Table2[[#This Row],[Tx_arm_randomized_to_tx]]</f>
        <v>2.3668639053254437E-2</v>
      </c>
      <c r="AS136">
        <v>19</v>
      </c>
      <c r="AV136">
        <v>166</v>
      </c>
      <c r="AW136" s="8">
        <f>(Table2[[#This Row],[Cr_arm_patient_withdrawal_consent]]+Table2[[#This Row],[Cr_arm_lost_fu]]+Table2[[#This Row],[Cr_am_noncomp]])/Table2[[#This Row],[Cr_am_total_randomized+patients]]</f>
        <v>0.1144578313253012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 t="s">
        <v>54</v>
      </c>
      <c r="BI136" t="s">
        <v>54</v>
      </c>
    </row>
    <row r="137" spans="1:61" x14ac:dyDescent="0.2">
      <c r="A137" t="s">
        <v>132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48</v>
      </c>
      <c r="N137">
        <v>1</v>
      </c>
      <c r="O137">
        <v>0.43333333333333329</v>
      </c>
      <c r="P137" t="s">
        <v>56</v>
      </c>
      <c r="Q137" t="s">
        <v>56</v>
      </c>
      <c r="R137">
        <v>2</v>
      </c>
      <c r="S137">
        <v>0</v>
      </c>
      <c r="T137" t="s">
        <v>51</v>
      </c>
      <c r="U137" t="s">
        <v>52</v>
      </c>
      <c r="V137" t="s">
        <v>53</v>
      </c>
      <c r="W137">
        <v>233</v>
      </c>
      <c r="X137">
        <v>215</v>
      </c>
      <c r="Y137">
        <v>0.92274678111587982</v>
      </c>
      <c r="Z137">
        <v>26</v>
      </c>
      <c r="AA137">
        <v>27</v>
      </c>
      <c r="AB137">
        <v>160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J137">
        <v>0</v>
      </c>
      <c r="AK137">
        <v>0</v>
      </c>
      <c r="AL137">
        <v>0.11158798283261803</v>
      </c>
      <c r="AN137">
        <v>4</v>
      </c>
      <c r="AO137" s="3">
        <v>0</v>
      </c>
      <c r="AQ137">
        <v>117</v>
      </c>
      <c r="AR137">
        <f>(Table2[[#This Row],[Tx_Arm_Patinet_Withdrawal_Consent]]+Table2[[#This Row],[Tx_am_lost_fu]]+Table2[[#This Row],[Tx_arm_noncomp]])/Table2[[#This Row],[Tx_arm_randomized_to_tx]]</f>
        <v>3.4188034188034191E-2</v>
      </c>
      <c r="AS137">
        <v>22</v>
      </c>
      <c r="AV137">
        <v>116</v>
      </c>
      <c r="AW137">
        <f>(Table2[[#This Row],[Cr_arm_patient_withdrawal_consent]]+Table2[[#This Row],[Cr_arm_lost_fu]]+Table2[[#This Row],[Cr_am_noncomp]])/Table2[[#This Row],[Cr_am_total_randomized+patients]]</f>
        <v>0.18965517241379309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57</v>
      </c>
      <c r="BI137" t="s">
        <v>63</v>
      </c>
    </row>
    <row r="138" spans="1:61" x14ac:dyDescent="0.2">
      <c r="A138" t="s">
        <v>220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 t="s">
        <v>48</v>
      </c>
      <c r="N138">
        <v>1</v>
      </c>
      <c r="O138">
        <v>0.76388888888888884</v>
      </c>
      <c r="P138" t="s">
        <v>56</v>
      </c>
      <c r="Q138" t="s">
        <v>56</v>
      </c>
      <c r="R138">
        <v>1</v>
      </c>
      <c r="S138">
        <v>1</v>
      </c>
      <c r="T138" t="s">
        <v>51</v>
      </c>
      <c r="U138" t="s">
        <v>52</v>
      </c>
      <c r="V138" t="s">
        <v>53</v>
      </c>
      <c r="W138">
        <v>285</v>
      </c>
      <c r="X138">
        <v>259</v>
      </c>
      <c r="Y138">
        <v>0.90877192982456145</v>
      </c>
      <c r="Z138">
        <v>17</v>
      </c>
      <c r="AA138">
        <v>22</v>
      </c>
      <c r="AB138">
        <v>197</v>
      </c>
      <c r="AC138">
        <v>0</v>
      </c>
      <c r="AD138">
        <v>0</v>
      </c>
      <c r="AE138">
        <v>4</v>
      </c>
      <c r="AF138">
        <v>0</v>
      </c>
      <c r="AG138">
        <v>12</v>
      </c>
      <c r="AH138">
        <v>1</v>
      </c>
      <c r="AJ138">
        <v>6</v>
      </c>
      <c r="AK138">
        <v>0</v>
      </c>
      <c r="AL138">
        <v>6.3157894736842107E-2</v>
      </c>
      <c r="AN138">
        <v>10</v>
      </c>
      <c r="AO138" s="3">
        <v>0</v>
      </c>
      <c r="AQ138">
        <v>188</v>
      </c>
      <c r="AR138">
        <f>(Table2[[#This Row],[Tx_Arm_Patinet_Withdrawal_Consent]]+Table2[[#This Row],[Tx_am_lost_fu]]+Table2[[#This Row],[Tx_arm_noncomp]])/Table2[[#This Row],[Tx_arm_randomized_to_tx]]</f>
        <v>5.3191489361702128E-2</v>
      </c>
      <c r="AS138">
        <v>7</v>
      </c>
      <c r="AV138">
        <v>97</v>
      </c>
      <c r="AW138">
        <f>(Table2[[#This Row],[Cr_arm_patient_withdrawal_consent]]+Table2[[#This Row],[Cr_arm_lost_fu]]+Table2[[#This Row],[Cr_am_noncomp]])/Table2[[#This Row],[Cr_am_total_randomized+patients]]</f>
        <v>7.2164948453608241E-2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54</v>
      </c>
      <c r="BI138" t="s">
        <v>63</v>
      </c>
    </row>
    <row r="139" spans="1:61" x14ac:dyDescent="0.2">
      <c r="A139" t="s">
        <v>335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48</v>
      </c>
      <c r="N139">
        <v>1</v>
      </c>
      <c r="O139">
        <v>2.7777777777777781</v>
      </c>
      <c r="P139" t="s">
        <v>56</v>
      </c>
      <c r="Q139" t="s">
        <v>56</v>
      </c>
      <c r="R139">
        <v>2</v>
      </c>
      <c r="S139">
        <v>0</v>
      </c>
      <c r="T139" t="s">
        <v>51</v>
      </c>
      <c r="U139" t="s">
        <v>52</v>
      </c>
      <c r="V139" t="s">
        <v>53</v>
      </c>
      <c r="W139">
        <v>119</v>
      </c>
      <c r="X139">
        <v>66</v>
      </c>
      <c r="Y139">
        <v>0.55462184873949583</v>
      </c>
      <c r="Z139">
        <v>11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3</v>
      </c>
      <c r="AG139">
        <v>48</v>
      </c>
      <c r="AH139">
        <v>2</v>
      </c>
      <c r="AJ139">
        <v>1</v>
      </c>
      <c r="AK139">
        <v>0</v>
      </c>
      <c r="AL139">
        <v>0.13445378151260504</v>
      </c>
      <c r="AN139">
        <v>2</v>
      </c>
      <c r="AO139" s="3">
        <v>0</v>
      </c>
      <c r="AQ139">
        <v>72</v>
      </c>
      <c r="AR139">
        <f>(Table2[[#This Row],[Tx_Arm_Patinet_Withdrawal_Consent]]+Table2[[#This Row],[Tx_am_lost_fu]]+Table2[[#This Row],[Tx_arm_noncomp]])/Table2[[#This Row],[Tx_arm_randomized_to_tx]]</f>
        <v>2.7777777777777776E-2</v>
      </c>
      <c r="AS139">
        <v>1</v>
      </c>
      <c r="AV139">
        <v>35</v>
      </c>
      <c r="AW139">
        <f>(Table2[[#This Row],[Cr_arm_patient_withdrawal_consent]]+Table2[[#This Row],[Cr_arm_lost_fu]]+Table2[[#This Row],[Cr_am_noncomp]])/Table2[[#This Row],[Cr_am_total_randomized+patients]]</f>
        <v>2.8571428571428571E-2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57</v>
      </c>
      <c r="BI139" t="s">
        <v>63</v>
      </c>
    </row>
    <row r="140" spans="1:61" x14ac:dyDescent="0.2">
      <c r="A140" s="5" t="s">
        <v>234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48</v>
      </c>
      <c r="N140">
        <v>1</v>
      </c>
      <c r="O140">
        <v>0.14166666666666669</v>
      </c>
      <c r="P140" t="s">
        <v>50</v>
      </c>
      <c r="Q140" t="s">
        <v>50</v>
      </c>
      <c r="R140">
        <v>3</v>
      </c>
      <c r="S140">
        <v>0</v>
      </c>
      <c r="T140" t="s">
        <v>51</v>
      </c>
      <c r="U140" t="s">
        <v>52</v>
      </c>
      <c r="V140" t="s">
        <v>53</v>
      </c>
      <c r="W140">
        <v>700</v>
      </c>
      <c r="X140">
        <v>683</v>
      </c>
      <c r="Y140">
        <v>0.97571428571428576</v>
      </c>
      <c r="Z140">
        <v>30</v>
      </c>
      <c r="AA140">
        <v>1</v>
      </c>
      <c r="AB140">
        <v>12</v>
      </c>
      <c r="AC140">
        <v>0</v>
      </c>
      <c r="AD140">
        <v>0</v>
      </c>
      <c r="AE140">
        <v>3</v>
      </c>
      <c r="AF140">
        <v>0</v>
      </c>
      <c r="AG140">
        <v>463</v>
      </c>
      <c r="AH140">
        <v>12</v>
      </c>
      <c r="AJ140">
        <v>13</v>
      </c>
      <c r="AK140">
        <v>149</v>
      </c>
      <c r="AL140">
        <v>0.06</v>
      </c>
      <c r="AM140" t="s">
        <v>384</v>
      </c>
      <c r="AN140">
        <v>12</v>
      </c>
      <c r="AQ140">
        <v>350</v>
      </c>
      <c r="AR140" s="8">
        <f>(Table2[[#This Row],[Tx_Arm_Patinet_Withdrawal_Consent]]+Table2[[#This Row],[Tx_am_lost_fu]]+Table2[[#This Row],[Tx_arm_noncomp]])/Table2[[#This Row],[Tx_arm_randomized_to_tx]]</f>
        <v>3.4285714285714287E-2</v>
      </c>
      <c r="AS140">
        <v>18</v>
      </c>
      <c r="AV140">
        <v>350</v>
      </c>
      <c r="AW140" s="8">
        <f>(Table2[[#This Row],[Cr_arm_patient_withdrawal_consent]]+Table2[[#This Row],[Cr_arm_lost_fu]]+Table2[[#This Row],[Cr_am_noncomp]])/Table2[[#This Row],[Cr_am_total_randomized+patients]]</f>
        <v>5.1428571428571428E-2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54</v>
      </c>
      <c r="BI140" t="s">
        <v>54</v>
      </c>
    </row>
    <row r="141" spans="1:61" x14ac:dyDescent="0.2">
      <c r="A141" s="5" t="s">
        <v>68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69</v>
      </c>
      <c r="N141">
        <v>0</v>
      </c>
      <c r="O141">
        <v>6.0694444444444446</v>
      </c>
      <c r="P141" t="s">
        <v>56</v>
      </c>
      <c r="Q141" t="s">
        <v>56</v>
      </c>
      <c r="R141">
        <v>3</v>
      </c>
      <c r="S141">
        <v>0</v>
      </c>
      <c r="T141" t="s">
        <v>51</v>
      </c>
      <c r="U141" t="s">
        <v>52</v>
      </c>
      <c r="V141" t="s">
        <v>53</v>
      </c>
      <c r="W141">
        <v>131</v>
      </c>
      <c r="X141">
        <v>30</v>
      </c>
      <c r="Y141">
        <v>0.22900763358778625</v>
      </c>
      <c r="Z141">
        <v>5</v>
      </c>
      <c r="AA141">
        <v>3</v>
      </c>
      <c r="AB141">
        <v>50</v>
      </c>
      <c r="AC141">
        <v>6</v>
      </c>
      <c r="AD141">
        <v>0</v>
      </c>
      <c r="AE141">
        <v>1</v>
      </c>
      <c r="AF141">
        <v>0</v>
      </c>
      <c r="AG141">
        <v>10</v>
      </c>
      <c r="AH141">
        <v>1</v>
      </c>
      <c r="AJ141">
        <v>2</v>
      </c>
      <c r="AK141">
        <v>53</v>
      </c>
      <c r="AL141">
        <v>4.5801526717557252E-2</v>
      </c>
      <c r="AM141" t="s">
        <v>385</v>
      </c>
      <c r="AN141">
        <v>5</v>
      </c>
      <c r="AQ141">
        <v>131</v>
      </c>
      <c r="AR141" s="8">
        <f>(Table2[[#This Row],[Tx_Arm_Patinet_Withdrawal_Consent]]+Table2[[#This Row],[Tx_am_lost_fu]]+Table2[[#This Row],[Tx_arm_noncomp]])/Table2[[#This Row],[Tx_arm_randomized_to_tx]]</f>
        <v>3.8167938931297711E-2</v>
      </c>
      <c r="AS141" t="s">
        <v>373</v>
      </c>
      <c r="AT141" t="s">
        <v>373</v>
      </c>
      <c r="AU141" t="s">
        <v>373</v>
      </c>
      <c r="AV141" t="s">
        <v>373</v>
      </c>
      <c r="AW141" s="8" t="e">
        <f>(Table2[[#This Row],[Cr_arm_patient_withdrawal_consent]]+Table2[[#This Row],[Cr_arm_lost_fu]]+Table2[[#This Row],[Cr_am_noncomp]])/Table2[[#This Row],[Cr_am_total_randomized+patients]]</f>
        <v>#VALUE!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54</v>
      </c>
      <c r="BI141" t="s">
        <v>54</v>
      </c>
    </row>
    <row r="142" spans="1:61" x14ac:dyDescent="0.2">
      <c r="A142" s="5" t="s">
        <v>292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60</v>
      </c>
      <c r="N142">
        <v>0</v>
      </c>
      <c r="O142">
        <v>4.1388888888888893</v>
      </c>
      <c r="P142" t="s">
        <v>61</v>
      </c>
      <c r="Q142" t="s">
        <v>50</v>
      </c>
      <c r="R142">
        <v>2</v>
      </c>
      <c r="S142">
        <v>0</v>
      </c>
      <c r="T142" t="s">
        <v>51</v>
      </c>
      <c r="U142" t="s">
        <v>52</v>
      </c>
      <c r="V142" t="s">
        <v>53</v>
      </c>
      <c r="W142">
        <v>533</v>
      </c>
      <c r="X142">
        <v>533</v>
      </c>
      <c r="Y142">
        <v>1</v>
      </c>
      <c r="Z142">
        <v>18</v>
      </c>
      <c r="AA142">
        <v>201</v>
      </c>
      <c r="AB142">
        <v>153</v>
      </c>
      <c r="AC142">
        <v>23</v>
      </c>
      <c r="AD142">
        <v>0</v>
      </c>
      <c r="AE142">
        <v>7</v>
      </c>
      <c r="AF142">
        <v>1</v>
      </c>
      <c r="AG142">
        <v>26</v>
      </c>
      <c r="AH142">
        <v>1</v>
      </c>
      <c r="AJ142">
        <v>103</v>
      </c>
      <c r="AK142">
        <v>0</v>
      </c>
      <c r="AL142">
        <v>3.7523452157598502E-2</v>
      </c>
      <c r="AM142" t="s">
        <v>384</v>
      </c>
      <c r="AN142">
        <v>18</v>
      </c>
      <c r="AQ142">
        <v>533</v>
      </c>
      <c r="AR142" s="8">
        <f>(Table2[[#This Row],[Tx_Arm_Patinet_Withdrawal_Consent]]+Table2[[#This Row],[Tx_am_lost_fu]]+Table2[[#This Row],[Tx_arm_noncomp]])/Table2[[#This Row],[Tx_arm_randomized_to_tx]]</f>
        <v>3.3771106941838651E-2</v>
      </c>
      <c r="AS142" t="s">
        <v>373</v>
      </c>
      <c r="AT142" t="s">
        <v>373</v>
      </c>
      <c r="AU142" t="s">
        <v>373</v>
      </c>
      <c r="AV142" t="s">
        <v>373</v>
      </c>
      <c r="AW142" s="8" t="e">
        <f>(Table2[[#This Row],[Cr_arm_patient_withdrawal_consent]]+Table2[[#This Row],[Cr_arm_lost_fu]]+Table2[[#This Row],[Cr_am_noncomp]])/Table2[[#This Row],[Cr_am_total_randomized+patients]]</f>
        <v>#VALUE!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54</v>
      </c>
      <c r="BI142" t="s">
        <v>54</v>
      </c>
    </row>
    <row r="143" spans="1:61" x14ac:dyDescent="0.2">
      <c r="A143" t="s">
        <v>324</v>
      </c>
      <c r="B143">
        <v>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48</v>
      </c>
      <c r="N143">
        <v>1</v>
      </c>
      <c r="O143">
        <v>1.666666666666667E-2</v>
      </c>
      <c r="P143" t="s">
        <v>50</v>
      </c>
      <c r="Q143" t="s">
        <v>50</v>
      </c>
      <c r="R143">
        <v>1</v>
      </c>
      <c r="S143">
        <v>1</v>
      </c>
      <c r="T143" t="s">
        <v>51</v>
      </c>
      <c r="U143" t="s">
        <v>52</v>
      </c>
      <c r="V143" t="s">
        <v>53</v>
      </c>
      <c r="W143">
        <v>329</v>
      </c>
      <c r="X143">
        <v>18</v>
      </c>
      <c r="Y143">
        <v>5.4711246200607903E-2</v>
      </c>
      <c r="Z143">
        <v>7</v>
      </c>
      <c r="AA143">
        <v>1</v>
      </c>
      <c r="AB143">
        <v>5</v>
      </c>
      <c r="AC143">
        <v>0</v>
      </c>
      <c r="AD143">
        <v>0</v>
      </c>
      <c r="AE143">
        <v>0</v>
      </c>
      <c r="AF143">
        <v>3</v>
      </c>
      <c r="AG143">
        <v>1</v>
      </c>
      <c r="AH143">
        <v>0</v>
      </c>
      <c r="AJ143">
        <v>1</v>
      </c>
      <c r="AK143">
        <v>0</v>
      </c>
      <c r="AL143">
        <v>3.0395136778115502E-2</v>
      </c>
      <c r="AN143">
        <v>3</v>
      </c>
      <c r="AO143" s="3">
        <v>0</v>
      </c>
      <c r="AQ143">
        <v>219</v>
      </c>
      <c r="AR143">
        <f>(Table2[[#This Row],[Tx_Arm_Patinet_Withdrawal_Consent]]+Table2[[#This Row],[Tx_am_lost_fu]]+Table2[[#This Row],[Tx_arm_noncomp]])/Table2[[#This Row],[Tx_arm_randomized_to_tx]]</f>
        <v>1.3698630136986301E-2</v>
      </c>
      <c r="AS143">
        <v>2</v>
      </c>
      <c r="AV143">
        <v>110</v>
      </c>
      <c r="AW143">
        <f>(Table2[[#This Row],[Cr_arm_patient_withdrawal_consent]]+Table2[[#This Row],[Cr_arm_lost_fu]]+Table2[[#This Row],[Cr_am_noncomp]])/Table2[[#This Row],[Cr_am_total_randomized+patients]]</f>
        <v>1.8181818181818181E-2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54</v>
      </c>
      <c r="BI143" t="s">
        <v>63</v>
      </c>
    </row>
    <row r="144" spans="1:61" x14ac:dyDescent="0.2">
      <c r="A144" t="s">
        <v>192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48</v>
      </c>
      <c r="N144">
        <v>1</v>
      </c>
      <c r="O144">
        <v>0.3972222222222222</v>
      </c>
      <c r="P144" t="s">
        <v>50</v>
      </c>
      <c r="Q144" t="s">
        <v>50</v>
      </c>
      <c r="R144">
        <v>1</v>
      </c>
      <c r="S144">
        <v>1</v>
      </c>
      <c r="T144" t="s">
        <v>51</v>
      </c>
      <c r="U144" t="s">
        <v>52</v>
      </c>
      <c r="V144" t="s">
        <v>53</v>
      </c>
      <c r="W144">
        <v>566</v>
      </c>
      <c r="X144">
        <v>550</v>
      </c>
      <c r="Y144">
        <v>0.9717314487632509</v>
      </c>
      <c r="Z144">
        <v>41</v>
      </c>
      <c r="AA144">
        <v>66</v>
      </c>
      <c r="AB144">
        <v>410</v>
      </c>
      <c r="AC144">
        <v>0</v>
      </c>
      <c r="AD144">
        <v>0</v>
      </c>
      <c r="AE144">
        <v>0</v>
      </c>
      <c r="AF144">
        <v>0</v>
      </c>
      <c r="AG144">
        <v>15</v>
      </c>
      <c r="AH144">
        <v>0</v>
      </c>
      <c r="AJ144">
        <v>18</v>
      </c>
      <c r="AK144">
        <v>0</v>
      </c>
      <c r="AL144">
        <v>7.2438162544169613E-2</v>
      </c>
      <c r="AN144">
        <v>10</v>
      </c>
      <c r="AO144" s="3">
        <v>0</v>
      </c>
      <c r="AQ144">
        <v>376</v>
      </c>
      <c r="AR144">
        <f>(Table2[[#This Row],[Tx_Arm_Patinet_Withdrawal_Consent]]+Table2[[#This Row],[Tx_am_lost_fu]]+Table2[[#This Row],[Tx_arm_noncomp]])/Table2[[#This Row],[Tx_arm_randomized_to_tx]]</f>
        <v>2.6595744680851064E-2</v>
      </c>
      <c r="AS144">
        <v>31</v>
      </c>
      <c r="AV144">
        <v>190</v>
      </c>
      <c r="AW144">
        <f>(Table2[[#This Row],[Cr_arm_patient_withdrawal_consent]]+Table2[[#This Row],[Cr_arm_lost_fu]]+Table2[[#This Row],[Cr_am_noncomp]])/Table2[[#This Row],[Cr_am_total_randomized+patients]]</f>
        <v>0.16315789473684211</v>
      </c>
      <c r="AX144">
        <v>0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 t="s">
        <v>54</v>
      </c>
      <c r="BI144" t="s">
        <v>63</v>
      </c>
    </row>
    <row r="145" spans="1:61" x14ac:dyDescent="0.2">
      <c r="A145" t="s">
        <v>266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48</v>
      </c>
      <c r="N145">
        <v>1</v>
      </c>
      <c r="O145">
        <v>4.7361111111111107</v>
      </c>
      <c r="P145" t="s">
        <v>50</v>
      </c>
      <c r="Q145" t="s">
        <v>50</v>
      </c>
      <c r="R145">
        <v>2</v>
      </c>
      <c r="S145">
        <v>0</v>
      </c>
      <c r="T145" t="s">
        <v>51</v>
      </c>
      <c r="U145" t="s">
        <v>52</v>
      </c>
      <c r="V145" t="s">
        <v>53</v>
      </c>
      <c r="W145">
        <v>616</v>
      </c>
      <c r="X145">
        <v>616</v>
      </c>
      <c r="Y145">
        <v>1</v>
      </c>
      <c r="Z145">
        <v>22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3</v>
      </c>
      <c r="AG145">
        <v>510</v>
      </c>
      <c r="AH145">
        <v>4</v>
      </c>
      <c r="AJ145">
        <v>0</v>
      </c>
      <c r="AK145">
        <v>77</v>
      </c>
      <c r="AL145">
        <v>4.707792207792208E-2</v>
      </c>
      <c r="AN145">
        <v>13</v>
      </c>
      <c r="AO145" s="3">
        <v>0</v>
      </c>
      <c r="AQ145">
        <v>410</v>
      </c>
      <c r="AR145">
        <f>(Table2[[#This Row],[Tx_Arm_Patinet_Withdrawal_Consent]]+Table2[[#This Row],[Tx_am_lost_fu]]+Table2[[#This Row],[Tx_arm_noncomp]])/Table2[[#This Row],[Tx_arm_randomized_to_tx]]</f>
        <v>3.1707317073170732E-2</v>
      </c>
      <c r="AS145">
        <v>9</v>
      </c>
      <c r="AV145">
        <v>206</v>
      </c>
      <c r="AW145">
        <f>(Table2[[#This Row],[Cr_arm_patient_withdrawal_consent]]+Table2[[#This Row],[Cr_arm_lost_fu]]+Table2[[#This Row],[Cr_am_noncomp]])/Table2[[#This Row],[Cr_am_total_randomized+patients]]</f>
        <v>4.3689320388349516E-2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54</v>
      </c>
      <c r="BI145" t="s">
        <v>54</v>
      </c>
    </row>
    <row r="146" spans="1:61" x14ac:dyDescent="0.2">
      <c r="A146" t="s">
        <v>175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48</v>
      </c>
      <c r="N146">
        <v>1</v>
      </c>
      <c r="O146">
        <v>7.583333333333333</v>
      </c>
      <c r="P146" t="s">
        <v>50</v>
      </c>
      <c r="Q146" t="s">
        <v>50</v>
      </c>
      <c r="R146">
        <v>2</v>
      </c>
      <c r="S146">
        <v>0</v>
      </c>
      <c r="T146" t="s">
        <v>51</v>
      </c>
      <c r="U146" t="s">
        <v>52</v>
      </c>
      <c r="V146" t="s">
        <v>53</v>
      </c>
      <c r="W146">
        <v>330</v>
      </c>
      <c r="X146">
        <v>176</v>
      </c>
      <c r="Y146">
        <v>0.53333333333333333</v>
      </c>
      <c r="Z146">
        <v>24</v>
      </c>
      <c r="AA146">
        <v>20</v>
      </c>
      <c r="AB146">
        <v>90</v>
      </c>
      <c r="AC146">
        <v>0</v>
      </c>
      <c r="AD146">
        <v>0</v>
      </c>
      <c r="AE146">
        <v>1</v>
      </c>
      <c r="AF146">
        <v>0</v>
      </c>
      <c r="AG146">
        <v>24</v>
      </c>
      <c r="AH146">
        <v>2</v>
      </c>
      <c r="AJ146">
        <v>15</v>
      </c>
      <c r="AK146">
        <v>0</v>
      </c>
      <c r="AL146">
        <v>7.8787878787878782E-2</v>
      </c>
      <c r="AN146">
        <v>14</v>
      </c>
      <c r="AO146" s="3">
        <v>0</v>
      </c>
      <c r="AQ146">
        <v>164</v>
      </c>
      <c r="AR146">
        <f>(Table2[[#This Row],[Tx_Arm_Patinet_Withdrawal_Consent]]+Table2[[#This Row],[Tx_am_lost_fu]]+Table2[[#This Row],[Tx_arm_noncomp]])/Table2[[#This Row],[Tx_arm_randomized_to_tx]]</f>
        <v>8.5365853658536592E-2</v>
      </c>
      <c r="AS146">
        <v>10</v>
      </c>
      <c r="AV146">
        <v>166</v>
      </c>
      <c r="AW146">
        <f>(Table2[[#This Row],[Cr_arm_patient_withdrawal_consent]]+Table2[[#This Row],[Cr_arm_lost_fu]]+Table2[[#This Row],[Cr_am_noncomp]])/Table2[[#This Row],[Cr_am_total_randomized+patients]]</f>
        <v>6.0240963855421686E-2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54</v>
      </c>
      <c r="BI146" t="s">
        <v>54</v>
      </c>
    </row>
    <row r="147" spans="1:61" x14ac:dyDescent="0.2">
      <c r="A147" t="s">
        <v>129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 t="s">
        <v>48</v>
      </c>
      <c r="N147">
        <v>1</v>
      </c>
      <c r="O147" t="s">
        <v>49</v>
      </c>
      <c r="P147" t="s">
        <v>56</v>
      </c>
      <c r="Q147" t="s">
        <v>56</v>
      </c>
      <c r="R147">
        <v>2</v>
      </c>
      <c r="S147">
        <v>0</v>
      </c>
      <c r="T147" t="s">
        <v>51</v>
      </c>
      <c r="U147" t="s">
        <v>52</v>
      </c>
      <c r="V147" t="s">
        <v>53</v>
      </c>
      <c r="W147">
        <v>319</v>
      </c>
      <c r="X147">
        <v>305</v>
      </c>
      <c r="Y147">
        <v>0.9561128526645768</v>
      </c>
      <c r="Z147">
        <v>34</v>
      </c>
      <c r="AA147">
        <v>29</v>
      </c>
      <c r="AB147">
        <v>111</v>
      </c>
      <c r="AC147">
        <v>0</v>
      </c>
      <c r="AD147">
        <v>9</v>
      </c>
      <c r="AE147">
        <v>0</v>
      </c>
      <c r="AF147">
        <v>1</v>
      </c>
      <c r="AG147">
        <v>60</v>
      </c>
      <c r="AH147">
        <v>1</v>
      </c>
      <c r="AJ147">
        <v>60</v>
      </c>
      <c r="AK147">
        <v>0</v>
      </c>
      <c r="AL147">
        <v>0.11285266457680251</v>
      </c>
      <c r="AN147">
        <v>10</v>
      </c>
      <c r="AO147" s="3">
        <v>0</v>
      </c>
      <c r="AQ147">
        <v>158</v>
      </c>
      <c r="AR147">
        <f>(Table2[[#This Row],[Tx_Arm_Patinet_Withdrawal_Consent]]+Table2[[#This Row],[Tx_am_lost_fu]]+Table2[[#This Row],[Tx_arm_noncomp]])/Table2[[#This Row],[Tx_arm_randomized_to_tx]]</f>
        <v>6.3291139240506333E-2</v>
      </c>
      <c r="AS147">
        <v>24</v>
      </c>
      <c r="AV147">
        <v>161</v>
      </c>
      <c r="AW147">
        <f>(Table2[[#This Row],[Cr_arm_patient_withdrawal_consent]]+Table2[[#This Row],[Cr_arm_lost_fu]]+Table2[[#This Row],[Cr_am_noncomp]])/Table2[[#This Row],[Cr_am_total_randomized+patients]]</f>
        <v>0.14906832298136646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 t="s">
        <v>54</v>
      </c>
      <c r="BI147" t="s">
        <v>54</v>
      </c>
    </row>
    <row r="148" spans="1:61" x14ac:dyDescent="0.2">
      <c r="A148" t="s">
        <v>347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48</v>
      </c>
      <c r="N148">
        <v>1</v>
      </c>
      <c r="O148">
        <v>0.43611111111111112</v>
      </c>
      <c r="P148" t="s">
        <v>56</v>
      </c>
      <c r="Q148" t="s">
        <v>56</v>
      </c>
      <c r="R148">
        <v>2</v>
      </c>
      <c r="S148">
        <v>0</v>
      </c>
      <c r="T148" t="s">
        <v>51</v>
      </c>
      <c r="U148" t="s">
        <v>52</v>
      </c>
      <c r="V148" t="s">
        <v>53</v>
      </c>
      <c r="W148">
        <v>743</v>
      </c>
      <c r="X148">
        <v>697</v>
      </c>
      <c r="Y148">
        <v>0.9380888290713324</v>
      </c>
      <c r="Z148">
        <v>42</v>
      </c>
      <c r="AA148">
        <v>73</v>
      </c>
      <c r="AB148">
        <v>485</v>
      </c>
      <c r="AC148">
        <v>77</v>
      </c>
      <c r="AD148">
        <v>0</v>
      </c>
      <c r="AE148">
        <v>6</v>
      </c>
      <c r="AF148">
        <v>1</v>
      </c>
      <c r="AG148">
        <v>2</v>
      </c>
      <c r="AH148">
        <v>1</v>
      </c>
      <c r="AJ148">
        <v>20</v>
      </c>
      <c r="AK148">
        <v>0</v>
      </c>
      <c r="AL148">
        <v>5.9219380888290714E-2</v>
      </c>
      <c r="AN148">
        <v>11</v>
      </c>
      <c r="AO148" s="3">
        <v>0</v>
      </c>
      <c r="AQ148">
        <v>371</v>
      </c>
      <c r="AR148">
        <f>(Table2[[#This Row],[Tx_Arm_Patinet_Withdrawal_Consent]]+Table2[[#This Row],[Tx_am_lost_fu]]+Table2[[#This Row],[Tx_arm_noncomp]])/Table2[[#This Row],[Tx_arm_randomized_to_tx]]</f>
        <v>2.9649595687331536E-2</v>
      </c>
      <c r="AS148">
        <v>31</v>
      </c>
      <c r="AV148">
        <v>372</v>
      </c>
      <c r="AW148">
        <f>(Table2[[#This Row],[Cr_arm_patient_withdrawal_consent]]+Table2[[#This Row],[Cr_arm_lost_fu]]+Table2[[#This Row],[Cr_am_noncomp]])/Table2[[#This Row],[Cr_am_total_randomized+patients]]</f>
        <v>8.3333333333333329E-2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54</v>
      </c>
      <c r="BI148" t="s">
        <v>54</v>
      </c>
    </row>
    <row r="149" spans="1:61" x14ac:dyDescent="0.2">
      <c r="A149" t="s">
        <v>285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48</v>
      </c>
      <c r="N149">
        <v>1</v>
      </c>
      <c r="O149">
        <v>9.166666666666666E-2</v>
      </c>
      <c r="P149" t="s">
        <v>56</v>
      </c>
      <c r="Q149" t="s">
        <v>56</v>
      </c>
      <c r="R149">
        <v>2</v>
      </c>
      <c r="S149">
        <v>0</v>
      </c>
      <c r="T149" t="s">
        <v>51</v>
      </c>
      <c r="U149" t="s">
        <v>52</v>
      </c>
      <c r="V149" t="s">
        <v>53</v>
      </c>
      <c r="W149">
        <v>529</v>
      </c>
      <c r="X149">
        <v>529</v>
      </c>
      <c r="Y149">
        <v>1</v>
      </c>
      <c r="Z149">
        <v>39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75</v>
      </c>
      <c r="AG149">
        <v>407</v>
      </c>
      <c r="AH149">
        <v>8</v>
      </c>
      <c r="AJ149">
        <v>0</v>
      </c>
      <c r="AK149">
        <v>0</v>
      </c>
      <c r="AL149">
        <v>0.23062381852551986</v>
      </c>
      <c r="AN149">
        <v>4</v>
      </c>
      <c r="AO149" s="3">
        <v>0</v>
      </c>
      <c r="AQ149">
        <v>267</v>
      </c>
      <c r="AR149">
        <f>(Table2[[#This Row],[Tx_Arm_Patinet_Withdrawal_Consent]]+Table2[[#This Row],[Tx_am_lost_fu]]+Table2[[#This Row],[Tx_arm_noncomp]])/Table2[[#This Row],[Tx_arm_randomized_to_tx]]</f>
        <v>1.4981273408239701E-2</v>
      </c>
      <c r="AS149">
        <v>17</v>
      </c>
      <c r="AV149">
        <v>262</v>
      </c>
      <c r="AW149">
        <f>(Table2[[#This Row],[Cr_arm_patient_withdrawal_consent]]+Table2[[#This Row],[Cr_arm_lost_fu]]+Table2[[#This Row],[Cr_am_noncomp]])/Table2[[#This Row],[Cr_am_total_randomized+patients]]</f>
        <v>6.4885496183206104E-2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54</v>
      </c>
      <c r="BI149" t="s">
        <v>63</v>
      </c>
    </row>
    <row r="150" spans="1:61" x14ac:dyDescent="0.2">
      <c r="A150" s="5" t="s">
        <v>108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48</v>
      </c>
      <c r="N150">
        <v>1</v>
      </c>
      <c r="O150">
        <v>4.8583333333333334</v>
      </c>
      <c r="P150" t="s">
        <v>56</v>
      </c>
      <c r="Q150" t="s">
        <v>56</v>
      </c>
      <c r="R150">
        <v>1</v>
      </c>
      <c r="S150">
        <v>1</v>
      </c>
      <c r="T150" t="s">
        <v>51</v>
      </c>
      <c r="U150" t="s">
        <v>52</v>
      </c>
      <c r="V150" t="s">
        <v>53</v>
      </c>
      <c r="W150">
        <v>419</v>
      </c>
      <c r="X150">
        <v>419</v>
      </c>
      <c r="Y150">
        <v>1</v>
      </c>
      <c r="Z150">
        <v>14</v>
      </c>
      <c r="AA150">
        <v>19</v>
      </c>
      <c r="AB150">
        <v>270</v>
      </c>
      <c r="AC150">
        <v>56</v>
      </c>
      <c r="AD150">
        <v>1</v>
      </c>
      <c r="AE150">
        <v>1</v>
      </c>
      <c r="AF150">
        <v>43</v>
      </c>
      <c r="AG150">
        <v>15</v>
      </c>
      <c r="AH150">
        <v>0</v>
      </c>
      <c r="AJ150">
        <v>0</v>
      </c>
      <c r="AK150">
        <v>0</v>
      </c>
      <c r="AL150">
        <v>0.13603818615751789</v>
      </c>
      <c r="AM150" t="s">
        <v>385</v>
      </c>
      <c r="AN150">
        <v>3</v>
      </c>
      <c r="AQ150">
        <v>210</v>
      </c>
      <c r="AR150" s="8">
        <f>(Table2[[#This Row],[Tx_Arm_Patinet_Withdrawal_Consent]]+Table2[[#This Row],[Tx_am_lost_fu]]+Table2[[#This Row],[Tx_arm_noncomp]])/Table2[[#This Row],[Tx_arm_randomized_to_tx]]</f>
        <v>1.4285714285714285E-2</v>
      </c>
      <c r="AS150">
        <v>10</v>
      </c>
      <c r="AV150">
        <v>209</v>
      </c>
      <c r="AW150" s="8">
        <f>(Table2[[#This Row],[Cr_arm_patient_withdrawal_consent]]+Table2[[#This Row],[Cr_arm_lost_fu]]+Table2[[#This Row],[Cr_am_noncomp]])/Table2[[#This Row],[Cr_am_total_randomized+patients]]</f>
        <v>4.784688995215311E-2</v>
      </c>
      <c r="AX150">
        <v>0</v>
      </c>
      <c r="AY150">
        <v>0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54</v>
      </c>
      <c r="BI150" t="s">
        <v>54</v>
      </c>
    </row>
    <row r="151" spans="1:61" x14ac:dyDescent="0.2">
      <c r="A151" t="s">
        <v>158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48</v>
      </c>
      <c r="N151">
        <v>1</v>
      </c>
      <c r="O151">
        <v>3.4833333333333329</v>
      </c>
      <c r="P151" t="s">
        <v>50</v>
      </c>
      <c r="Q151" t="s">
        <v>50</v>
      </c>
      <c r="R151">
        <v>2</v>
      </c>
      <c r="S151">
        <v>0</v>
      </c>
      <c r="T151" t="s">
        <v>51</v>
      </c>
      <c r="U151" t="s">
        <v>52</v>
      </c>
      <c r="V151" t="s">
        <v>53</v>
      </c>
      <c r="W151">
        <v>613</v>
      </c>
      <c r="X151">
        <v>592</v>
      </c>
      <c r="Y151">
        <v>0.965742251223491</v>
      </c>
      <c r="Z151">
        <v>40</v>
      </c>
      <c r="AA151">
        <v>79</v>
      </c>
      <c r="AB151">
        <v>365</v>
      </c>
      <c r="AC151">
        <v>0</v>
      </c>
      <c r="AD151">
        <v>0</v>
      </c>
      <c r="AE151">
        <v>52</v>
      </c>
      <c r="AF151">
        <v>13</v>
      </c>
      <c r="AG151">
        <v>40</v>
      </c>
      <c r="AH151">
        <v>1</v>
      </c>
      <c r="AJ151">
        <v>2</v>
      </c>
      <c r="AK151">
        <v>0</v>
      </c>
      <c r="AL151">
        <v>8.8091353996737357E-2</v>
      </c>
      <c r="AN151">
        <v>12</v>
      </c>
      <c r="AO151" s="3">
        <v>0</v>
      </c>
      <c r="AQ151">
        <v>307</v>
      </c>
      <c r="AR151">
        <f>(Table2[[#This Row],[Tx_Arm_Patinet_Withdrawal_Consent]]+Table2[[#This Row],[Tx_am_lost_fu]]+Table2[[#This Row],[Tx_arm_noncomp]])/Table2[[#This Row],[Tx_arm_randomized_to_tx]]</f>
        <v>3.9087947882736153E-2</v>
      </c>
      <c r="AS151">
        <v>28</v>
      </c>
      <c r="AV151">
        <v>306</v>
      </c>
      <c r="AW151">
        <f>(Table2[[#This Row],[Cr_arm_patient_withdrawal_consent]]+Table2[[#This Row],[Cr_arm_lost_fu]]+Table2[[#This Row],[Cr_am_noncomp]])/Table2[[#This Row],[Cr_am_total_randomized+patients]]</f>
        <v>9.1503267973856203E-2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 t="s">
        <v>57</v>
      </c>
      <c r="BI151" t="s">
        <v>63</v>
      </c>
    </row>
    <row r="152" spans="1:61" x14ac:dyDescent="0.2">
      <c r="A152" t="s">
        <v>230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48</v>
      </c>
      <c r="N152">
        <v>1</v>
      </c>
      <c r="O152">
        <v>0.73055555555555551</v>
      </c>
      <c r="P152" t="s">
        <v>56</v>
      </c>
      <c r="Q152" t="s">
        <v>56</v>
      </c>
      <c r="R152">
        <v>2</v>
      </c>
      <c r="S152">
        <v>1</v>
      </c>
      <c r="T152" t="s">
        <v>51</v>
      </c>
      <c r="U152" t="s">
        <v>52</v>
      </c>
      <c r="V152" t="s">
        <v>53</v>
      </c>
      <c r="W152">
        <v>628</v>
      </c>
      <c r="X152">
        <v>596</v>
      </c>
      <c r="Y152">
        <v>0.94904458598726116</v>
      </c>
      <c r="Z152">
        <v>37</v>
      </c>
      <c r="AA152">
        <v>83</v>
      </c>
      <c r="AB152">
        <v>475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J152">
        <v>0</v>
      </c>
      <c r="AK152">
        <v>0</v>
      </c>
      <c r="AL152">
        <v>6.0509554140127389E-2</v>
      </c>
      <c r="AN152">
        <v>11</v>
      </c>
      <c r="AO152" s="3">
        <v>0</v>
      </c>
      <c r="AQ152">
        <v>314</v>
      </c>
      <c r="AR152">
        <f>(Table2[[#This Row],[Tx_Arm_Patinet_Withdrawal_Consent]]+Table2[[#This Row],[Tx_am_lost_fu]]+Table2[[#This Row],[Tx_arm_noncomp]])/Table2[[#This Row],[Tx_arm_randomized_to_tx]]</f>
        <v>3.5031847133757961E-2</v>
      </c>
      <c r="AS152">
        <v>26</v>
      </c>
      <c r="AV152">
        <v>314</v>
      </c>
      <c r="AW152">
        <f>(Table2[[#This Row],[Cr_arm_patient_withdrawal_consent]]+Table2[[#This Row],[Cr_arm_lost_fu]]+Table2[[#This Row],[Cr_am_noncomp]])/Table2[[#This Row],[Cr_am_total_randomized+patients]]</f>
        <v>8.2802547770700632E-2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57</v>
      </c>
      <c r="BI152" t="s">
        <v>63</v>
      </c>
    </row>
    <row r="153" spans="1:61" x14ac:dyDescent="0.2">
      <c r="A153" t="s">
        <v>228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 t="s">
        <v>48</v>
      </c>
      <c r="N153">
        <v>1</v>
      </c>
      <c r="O153">
        <v>6.3888888888888884E-2</v>
      </c>
      <c r="P153" t="s">
        <v>50</v>
      </c>
      <c r="Q153" t="s">
        <v>50</v>
      </c>
      <c r="R153">
        <v>2</v>
      </c>
      <c r="S153">
        <v>0</v>
      </c>
      <c r="T153" t="s">
        <v>51</v>
      </c>
      <c r="U153" t="s">
        <v>52</v>
      </c>
      <c r="V153" t="s">
        <v>53</v>
      </c>
      <c r="W153">
        <v>307</v>
      </c>
      <c r="X153">
        <v>307</v>
      </c>
      <c r="Y153">
        <v>1</v>
      </c>
      <c r="Z153">
        <v>12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2</v>
      </c>
      <c r="AG153">
        <v>159</v>
      </c>
      <c r="AH153">
        <v>5</v>
      </c>
      <c r="AJ153">
        <v>0</v>
      </c>
      <c r="AK153">
        <v>129</v>
      </c>
      <c r="AL153">
        <v>6.1889250814332247E-2</v>
      </c>
      <c r="AN153">
        <v>2</v>
      </c>
      <c r="AO153" s="3">
        <v>0</v>
      </c>
      <c r="AQ153">
        <v>153</v>
      </c>
      <c r="AR153">
        <f>(Table2[[#This Row],[Tx_Arm_Patinet_Withdrawal_Consent]]+Table2[[#This Row],[Tx_am_lost_fu]]+Table2[[#This Row],[Tx_arm_noncomp]])/Table2[[#This Row],[Tx_arm_randomized_to_tx]]</f>
        <v>1.3071895424836602E-2</v>
      </c>
      <c r="AS153">
        <v>10</v>
      </c>
      <c r="AV153">
        <v>154</v>
      </c>
      <c r="AW153">
        <f>(Table2[[#This Row],[Cr_arm_patient_withdrawal_consent]]+Table2[[#This Row],[Cr_arm_lost_fu]]+Table2[[#This Row],[Cr_am_noncomp]])/Table2[[#This Row],[Cr_am_total_randomized+patients]]</f>
        <v>6.4935064935064929E-2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 t="s">
        <v>54</v>
      </c>
      <c r="BI153" t="s">
        <v>54</v>
      </c>
    </row>
    <row r="154" spans="1:61" x14ac:dyDescent="0.2">
      <c r="A154" t="s">
        <v>255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48</v>
      </c>
      <c r="N154">
        <v>1</v>
      </c>
      <c r="O154">
        <v>5.0750000000000002</v>
      </c>
      <c r="P154" t="s">
        <v>56</v>
      </c>
      <c r="Q154" t="s">
        <v>56</v>
      </c>
      <c r="R154">
        <v>2</v>
      </c>
      <c r="S154">
        <v>0</v>
      </c>
      <c r="T154" t="s">
        <v>51</v>
      </c>
      <c r="U154" t="s">
        <v>179</v>
      </c>
      <c r="V154" t="s">
        <v>73</v>
      </c>
      <c r="W154">
        <v>622</v>
      </c>
      <c r="X154">
        <v>622</v>
      </c>
      <c r="Y154">
        <v>1</v>
      </c>
      <c r="Z154">
        <v>43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43</v>
      </c>
      <c r="AG154">
        <v>536</v>
      </c>
      <c r="AH154">
        <v>0</v>
      </c>
      <c r="AJ154">
        <v>0</v>
      </c>
      <c r="AK154">
        <v>0</v>
      </c>
      <c r="AL154">
        <v>0.13826366559485531</v>
      </c>
      <c r="AN154">
        <v>11</v>
      </c>
      <c r="AO154" s="3">
        <v>0</v>
      </c>
      <c r="AQ154">
        <v>312</v>
      </c>
      <c r="AR154">
        <f>(Table2[[#This Row],[Tx_Arm_Patinet_Withdrawal_Consent]]+Table2[[#This Row],[Tx_am_lost_fu]]+Table2[[#This Row],[Tx_arm_noncomp]])/Table2[[#This Row],[Tx_arm_randomized_to_tx]]</f>
        <v>3.5256410256410256E-2</v>
      </c>
      <c r="AS154">
        <v>21</v>
      </c>
      <c r="AV154">
        <v>310</v>
      </c>
      <c r="AW154">
        <f>(Table2[[#This Row],[Cr_arm_patient_withdrawal_consent]]+Table2[[#This Row],[Cr_arm_lost_fu]]+Table2[[#This Row],[Cr_am_noncomp]])/Table2[[#This Row],[Cr_am_total_randomized+patients]]</f>
        <v>6.7741935483870974E-2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57</v>
      </c>
      <c r="BI154" t="s">
        <v>54</v>
      </c>
    </row>
    <row r="155" spans="1:61" x14ac:dyDescent="0.2">
      <c r="A155" t="s">
        <v>85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48</v>
      </c>
      <c r="N155">
        <v>1</v>
      </c>
      <c r="O155">
        <v>0.31388888888888888</v>
      </c>
      <c r="P155" t="s">
        <v>50</v>
      </c>
      <c r="Q155" t="s">
        <v>50</v>
      </c>
      <c r="R155">
        <v>2</v>
      </c>
      <c r="S155">
        <v>0</v>
      </c>
      <c r="T155" t="s">
        <v>51</v>
      </c>
      <c r="U155" t="s">
        <v>52</v>
      </c>
      <c r="V155" t="s">
        <v>53</v>
      </c>
      <c r="W155">
        <v>823</v>
      </c>
      <c r="X155">
        <v>823</v>
      </c>
      <c r="Y155">
        <v>1</v>
      </c>
      <c r="Z155">
        <v>29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687</v>
      </c>
      <c r="AH155">
        <v>107</v>
      </c>
      <c r="AJ155">
        <v>0</v>
      </c>
      <c r="AK155">
        <v>0</v>
      </c>
      <c r="AL155">
        <v>0.1652490886998785</v>
      </c>
      <c r="AN155">
        <v>13</v>
      </c>
      <c r="AO155" s="3">
        <v>0</v>
      </c>
      <c r="AQ155">
        <v>617</v>
      </c>
      <c r="AR155">
        <f>(Table2[[#This Row],[Tx_Arm_Patinet_Withdrawal_Consent]]+Table2[[#This Row],[Tx_am_lost_fu]]+Table2[[#This Row],[Tx_arm_noncomp]])/Table2[[#This Row],[Tx_arm_randomized_to_tx]]</f>
        <v>2.1069692058346839E-2</v>
      </c>
      <c r="AS155">
        <v>16</v>
      </c>
      <c r="AV155">
        <v>206</v>
      </c>
      <c r="AW155">
        <f>(Table2[[#This Row],[Cr_arm_patient_withdrawal_consent]]+Table2[[#This Row],[Cr_arm_lost_fu]]+Table2[[#This Row],[Cr_am_noncomp]])/Table2[[#This Row],[Cr_am_total_randomized+patients]]</f>
        <v>7.7669902912621352E-2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54</v>
      </c>
      <c r="BI155" t="s">
        <v>63</v>
      </c>
    </row>
    <row r="156" spans="1:61" x14ac:dyDescent="0.2">
      <c r="A156" t="s">
        <v>126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 t="s">
        <v>48</v>
      </c>
      <c r="N156">
        <v>1</v>
      </c>
      <c r="O156">
        <v>3.588888888888889</v>
      </c>
      <c r="P156" t="s">
        <v>50</v>
      </c>
      <c r="Q156" t="s">
        <v>50</v>
      </c>
      <c r="R156">
        <v>1</v>
      </c>
      <c r="S156">
        <v>1</v>
      </c>
      <c r="T156" t="s">
        <v>51</v>
      </c>
      <c r="U156" t="s">
        <v>52</v>
      </c>
      <c r="V156" t="s">
        <v>53</v>
      </c>
      <c r="W156">
        <v>432</v>
      </c>
      <c r="X156">
        <v>426</v>
      </c>
      <c r="Y156">
        <v>0.98611111111111116</v>
      </c>
      <c r="Z156">
        <v>32</v>
      </c>
      <c r="AA156">
        <v>22</v>
      </c>
      <c r="AB156">
        <v>297</v>
      </c>
      <c r="AC156">
        <v>1</v>
      </c>
      <c r="AD156">
        <v>3</v>
      </c>
      <c r="AE156">
        <v>20</v>
      </c>
      <c r="AF156">
        <v>17</v>
      </c>
      <c r="AG156">
        <v>33</v>
      </c>
      <c r="AH156">
        <v>1</v>
      </c>
      <c r="AJ156">
        <v>2</v>
      </c>
      <c r="AK156">
        <v>17</v>
      </c>
      <c r="AL156">
        <v>0.11574074074074074</v>
      </c>
      <c r="AN156">
        <v>17</v>
      </c>
      <c r="AO156" s="3">
        <v>0</v>
      </c>
      <c r="AP156">
        <v>14</v>
      </c>
      <c r="AQ156">
        <v>218</v>
      </c>
      <c r="AR156">
        <f>(Table2[[#This Row],[Tx_Arm_Patinet_Withdrawal_Consent]]+Table2[[#This Row],[Tx_am_lost_fu]]+Table2[[#This Row],[Tx_arm_noncomp]])/Table2[[#This Row],[Tx_arm_randomized_to_tx]]</f>
        <v>0.14220183486238533</v>
      </c>
      <c r="AS156">
        <v>15</v>
      </c>
      <c r="AT156">
        <v>1</v>
      </c>
      <c r="AU156">
        <v>23</v>
      </c>
      <c r="AV156">
        <v>214</v>
      </c>
      <c r="AW156">
        <f>(Table2[[#This Row],[Cr_arm_patient_withdrawal_consent]]+Table2[[#This Row],[Cr_arm_lost_fu]]+Table2[[#This Row],[Cr_am_noncomp]])/Table2[[#This Row],[Cr_am_total_randomized+patients]]</f>
        <v>0.1822429906542056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54</v>
      </c>
      <c r="BI156" t="s">
        <v>54</v>
      </c>
    </row>
    <row r="157" spans="1:61" x14ac:dyDescent="0.2">
      <c r="A157" t="s">
        <v>288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 t="s">
        <v>48</v>
      </c>
      <c r="N157">
        <v>1</v>
      </c>
      <c r="O157">
        <v>3.469444444444445</v>
      </c>
      <c r="P157" t="s">
        <v>56</v>
      </c>
      <c r="Q157" t="s">
        <v>56</v>
      </c>
      <c r="R157">
        <v>2</v>
      </c>
      <c r="S157">
        <v>0</v>
      </c>
      <c r="T157" t="s">
        <v>51</v>
      </c>
      <c r="U157" t="s">
        <v>52</v>
      </c>
      <c r="V157" t="s">
        <v>53</v>
      </c>
      <c r="W157">
        <v>182</v>
      </c>
      <c r="X157">
        <v>182</v>
      </c>
      <c r="Y157">
        <v>1</v>
      </c>
      <c r="Z157">
        <v>23</v>
      </c>
      <c r="AA157">
        <v>1</v>
      </c>
      <c r="AB157">
        <v>103</v>
      </c>
      <c r="AC157">
        <v>1</v>
      </c>
      <c r="AD157">
        <v>0</v>
      </c>
      <c r="AE157">
        <v>0</v>
      </c>
      <c r="AF157">
        <v>0</v>
      </c>
      <c r="AG157">
        <v>1</v>
      </c>
      <c r="AH157">
        <v>1</v>
      </c>
      <c r="AJ157">
        <v>52</v>
      </c>
      <c r="AK157">
        <v>0</v>
      </c>
      <c r="AL157">
        <v>0.13186813186813187</v>
      </c>
      <c r="AN157">
        <v>0</v>
      </c>
      <c r="AO157" s="3">
        <v>0</v>
      </c>
      <c r="AQ157">
        <v>122</v>
      </c>
      <c r="AR157">
        <f>(Table2[[#This Row],[Tx_Arm_Patinet_Withdrawal_Consent]]+Table2[[#This Row],[Tx_am_lost_fu]]+Table2[[#This Row],[Tx_arm_noncomp]])/Table2[[#This Row],[Tx_arm_randomized_to_tx]]</f>
        <v>0</v>
      </c>
      <c r="AS157">
        <v>6</v>
      </c>
      <c r="AV157">
        <v>60</v>
      </c>
      <c r="AW157">
        <f>(Table2[[#This Row],[Cr_arm_patient_withdrawal_consent]]+Table2[[#This Row],[Cr_arm_lost_fu]]+Table2[[#This Row],[Cr_am_noncomp]])/Table2[[#This Row],[Cr_am_total_randomized+patients]]</f>
        <v>0.1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54</v>
      </c>
      <c r="BI157" t="s">
        <v>54</v>
      </c>
    </row>
    <row r="158" spans="1:61" x14ac:dyDescent="0.2">
      <c r="A158" t="s">
        <v>278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48</v>
      </c>
      <c r="N158">
        <v>1</v>
      </c>
      <c r="O158">
        <v>3.8194444444444451</v>
      </c>
      <c r="P158" t="s">
        <v>56</v>
      </c>
      <c r="Q158" t="s">
        <v>50</v>
      </c>
      <c r="R158">
        <v>1</v>
      </c>
      <c r="S158">
        <v>1</v>
      </c>
      <c r="T158" t="s">
        <v>51</v>
      </c>
      <c r="U158" t="s">
        <v>52</v>
      </c>
      <c r="V158" t="s">
        <v>53</v>
      </c>
      <c r="W158">
        <v>507</v>
      </c>
      <c r="X158">
        <v>485</v>
      </c>
      <c r="Y158">
        <v>0.95660749506903353</v>
      </c>
      <c r="Z158">
        <v>18</v>
      </c>
      <c r="AA158">
        <v>44</v>
      </c>
      <c r="AB158">
        <v>391</v>
      </c>
      <c r="AC158">
        <v>0</v>
      </c>
      <c r="AD158">
        <v>0</v>
      </c>
      <c r="AE158">
        <v>5</v>
      </c>
      <c r="AF158">
        <v>14</v>
      </c>
      <c r="AG158">
        <v>13</v>
      </c>
      <c r="AH158">
        <v>0</v>
      </c>
      <c r="AJ158">
        <v>0</v>
      </c>
      <c r="AK158">
        <v>0</v>
      </c>
      <c r="AL158">
        <v>6.3116370808678504E-2</v>
      </c>
      <c r="AN158">
        <v>14</v>
      </c>
      <c r="AO158" s="3">
        <v>0</v>
      </c>
      <c r="AP158">
        <v>3</v>
      </c>
      <c r="AQ158">
        <v>337</v>
      </c>
      <c r="AR158">
        <f>(Table2[[#This Row],[Tx_Arm_Patinet_Withdrawal_Consent]]+Table2[[#This Row],[Tx_am_lost_fu]]+Table2[[#This Row],[Tx_arm_noncomp]])/Table2[[#This Row],[Tx_arm_randomized_to_tx]]</f>
        <v>5.0445103857566766E-2</v>
      </c>
      <c r="AS158">
        <v>6</v>
      </c>
      <c r="AT158">
        <v>0</v>
      </c>
      <c r="AU158">
        <v>13</v>
      </c>
      <c r="AV158">
        <v>170</v>
      </c>
      <c r="AW158">
        <f>(Table2[[#This Row],[Cr_arm_patient_withdrawal_consent]]+Table2[[#This Row],[Cr_arm_lost_fu]]+Table2[[#This Row],[Cr_am_noncomp]])/Table2[[#This Row],[Cr_am_total_randomized+patients]]</f>
        <v>0.11176470588235295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54</v>
      </c>
      <c r="BI158" t="s">
        <v>54</v>
      </c>
    </row>
    <row r="159" spans="1:61" x14ac:dyDescent="0.2">
      <c r="A159" t="s">
        <v>194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 t="s">
        <v>48</v>
      </c>
      <c r="N159">
        <v>1</v>
      </c>
      <c r="O159">
        <v>6.3888888888888884E-2</v>
      </c>
      <c r="P159" t="s">
        <v>56</v>
      </c>
      <c r="Q159" t="s">
        <v>50</v>
      </c>
      <c r="R159">
        <v>2</v>
      </c>
      <c r="S159">
        <v>0</v>
      </c>
      <c r="T159" t="s">
        <v>51</v>
      </c>
      <c r="U159" t="s">
        <v>52</v>
      </c>
      <c r="V159" t="s">
        <v>53</v>
      </c>
      <c r="W159">
        <v>763</v>
      </c>
      <c r="X159">
        <v>696</v>
      </c>
      <c r="Y159">
        <v>0.91218872870249013</v>
      </c>
      <c r="Z159">
        <v>55</v>
      </c>
      <c r="AA159">
        <v>95</v>
      </c>
      <c r="AB159">
        <v>529</v>
      </c>
      <c r="AC159">
        <v>0</v>
      </c>
      <c r="AD159">
        <v>0</v>
      </c>
      <c r="AE159">
        <v>2</v>
      </c>
      <c r="AF159">
        <v>0</v>
      </c>
      <c r="AG159">
        <v>0</v>
      </c>
      <c r="AH159">
        <v>0</v>
      </c>
      <c r="AJ159">
        <v>15</v>
      </c>
      <c r="AK159">
        <v>0</v>
      </c>
      <c r="AL159">
        <v>7.2083879423328959E-2</v>
      </c>
      <c r="AN159">
        <v>34</v>
      </c>
      <c r="AO159" s="3">
        <v>0</v>
      </c>
      <c r="AQ159">
        <v>513</v>
      </c>
      <c r="AR159">
        <f>(Table2[[#This Row],[Tx_Arm_Patinet_Withdrawal_Consent]]+Table2[[#This Row],[Tx_am_lost_fu]]+Table2[[#This Row],[Tx_arm_noncomp]])/Table2[[#This Row],[Tx_arm_randomized_to_tx]]</f>
        <v>6.6276803118908378E-2</v>
      </c>
      <c r="AS159">
        <v>21</v>
      </c>
      <c r="AV159">
        <v>250</v>
      </c>
      <c r="AW159">
        <f>(Table2[[#This Row],[Cr_arm_patient_withdrawal_consent]]+Table2[[#This Row],[Cr_arm_lost_fu]]+Table2[[#This Row],[Cr_am_noncomp]])/Table2[[#This Row],[Cr_am_total_randomized+patients]]</f>
        <v>8.4000000000000005E-2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57</v>
      </c>
      <c r="BI159" t="s">
        <v>63</v>
      </c>
    </row>
    <row r="160" spans="1:61" x14ac:dyDescent="0.2">
      <c r="A160" t="s">
        <v>326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48</v>
      </c>
      <c r="N160">
        <v>1</v>
      </c>
      <c r="O160">
        <v>0.1472222222222222</v>
      </c>
      <c r="P160" t="s">
        <v>50</v>
      </c>
      <c r="Q160" t="s">
        <v>50</v>
      </c>
      <c r="R160">
        <v>3</v>
      </c>
      <c r="S160">
        <v>0</v>
      </c>
      <c r="T160" t="s">
        <v>51</v>
      </c>
      <c r="U160" t="s">
        <v>52</v>
      </c>
      <c r="V160" t="s">
        <v>53</v>
      </c>
      <c r="W160">
        <v>624</v>
      </c>
      <c r="X160">
        <v>89</v>
      </c>
      <c r="Y160">
        <v>0.14262820512820512</v>
      </c>
      <c r="Z160">
        <v>31</v>
      </c>
      <c r="AA160">
        <v>20</v>
      </c>
      <c r="AB160">
        <v>0</v>
      </c>
      <c r="AC160">
        <v>0</v>
      </c>
      <c r="AD160">
        <v>0</v>
      </c>
      <c r="AE160">
        <v>0</v>
      </c>
      <c r="AF160">
        <v>20</v>
      </c>
      <c r="AG160">
        <v>6</v>
      </c>
      <c r="AH160">
        <v>1</v>
      </c>
      <c r="AJ160">
        <v>11</v>
      </c>
      <c r="AK160">
        <v>0</v>
      </c>
      <c r="AL160">
        <v>8.3333333333333329E-2</v>
      </c>
      <c r="AN160">
        <v>6</v>
      </c>
      <c r="AO160" s="3">
        <v>0</v>
      </c>
      <c r="AP160">
        <v>3</v>
      </c>
      <c r="AQ160">
        <v>266</v>
      </c>
      <c r="AR160">
        <f>(Table2[[#This Row],[Tx_Arm_Patinet_Withdrawal_Consent]]+Table2[[#This Row],[Tx_am_lost_fu]]+Table2[[#This Row],[Tx_arm_noncomp]])/Table2[[#This Row],[Tx_arm_randomized_to_tx]]</f>
        <v>3.3834586466165412E-2</v>
      </c>
      <c r="AS160">
        <v>10</v>
      </c>
      <c r="AT160">
        <v>0</v>
      </c>
      <c r="AU160">
        <v>5</v>
      </c>
      <c r="AV160">
        <v>270</v>
      </c>
      <c r="AW160">
        <f>(Table2[[#This Row],[Cr_arm_patient_withdrawal_consent]]+Table2[[#This Row],[Cr_arm_lost_fu]]+Table2[[#This Row],[Cr_am_noncomp]])/Table2[[#This Row],[Cr_am_total_randomized+patients]]</f>
        <v>5.5555555555555552E-2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57</v>
      </c>
      <c r="BI160" t="s">
        <v>63</v>
      </c>
    </row>
    <row r="161" spans="1:61" x14ac:dyDescent="0.2">
      <c r="A161" t="s">
        <v>166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48</v>
      </c>
      <c r="N161">
        <v>1</v>
      </c>
      <c r="O161">
        <v>6.3888888888888884E-2</v>
      </c>
      <c r="P161" t="s">
        <v>56</v>
      </c>
      <c r="Q161" t="s">
        <v>56</v>
      </c>
      <c r="R161">
        <v>3</v>
      </c>
      <c r="S161">
        <v>0</v>
      </c>
      <c r="T161" t="s">
        <v>51</v>
      </c>
      <c r="U161" t="s">
        <v>52</v>
      </c>
      <c r="V161" t="s">
        <v>53</v>
      </c>
      <c r="W161">
        <v>547</v>
      </c>
      <c r="X161">
        <v>547</v>
      </c>
      <c r="Y161">
        <v>1</v>
      </c>
      <c r="Z161">
        <v>45</v>
      </c>
      <c r="AA161">
        <v>81</v>
      </c>
      <c r="AB161">
        <v>404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1</v>
      </c>
      <c r="AJ161">
        <v>14</v>
      </c>
      <c r="AK161">
        <v>0</v>
      </c>
      <c r="AL161">
        <v>8.4095063985374766E-2</v>
      </c>
      <c r="AN161">
        <v>8</v>
      </c>
      <c r="AO161" s="3">
        <v>0</v>
      </c>
      <c r="AQ161">
        <v>282</v>
      </c>
      <c r="AR161">
        <f>(Table2[[#This Row],[Tx_Arm_Patinet_Withdrawal_Consent]]+Table2[[#This Row],[Tx_am_lost_fu]]+Table2[[#This Row],[Tx_arm_noncomp]])/Table2[[#This Row],[Tx_arm_randomized_to_tx]]</f>
        <v>2.8368794326241134E-2</v>
      </c>
      <c r="AS161">
        <v>37</v>
      </c>
      <c r="AT161">
        <v>0</v>
      </c>
      <c r="AU161">
        <v>0</v>
      </c>
      <c r="AV161">
        <v>265</v>
      </c>
      <c r="AW161">
        <f>(Table2[[#This Row],[Cr_arm_patient_withdrawal_consent]]+Table2[[#This Row],[Cr_arm_lost_fu]]+Table2[[#This Row],[Cr_am_noncomp]])/Table2[[#This Row],[Cr_am_total_randomized+patients]]</f>
        <v>0.13962264150943396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57</v>
      </c>
      <c r="BI161" t="s">
        <v>63</v>
      </c>
    </row>
    <row r="162" spans="1:61" x14ac:dyDescent="0.2">
      <c r="A162" s="5" t="s">
        <v>190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60</v>
      </c>
      <c r="N162">
        <v>0</v>
      </c>
      <c r="O162">
        <v>3.583333333333333</v>
      </c>
      <c r="P162" t="s">
        <v>61</v>
      </c>
      <c r="Q162" t="s">
        <v>56</v>
      </c>
      <c r="R162">
        <v>3</v>
      </c>
      <c r="S162">
        <v>0</v>
      </c>
      <c r="T162" t="s">
        <v>51</v>
      </c>
      <c r="U162" t="s">
        <v>52</v>
      </c>
      <c r="V162" t="s">
        <v>53</v>
      </c>
      <c r="W162">
        <v>3017</v>
      </c>
      <c r="X162">
        <v>3014</v>
      </c>
      <c r="Y162">
        <v>0.99900563473649318</v>
      </c>
      <c r="Z162">
        <v>124</v>
      </c>
      <c r="AA162">
        <v>0</v>
      </c>
      <c r="AB162">
        <v>0</v>
      </c>
      <c r="AC162">
        <v>0</v>
      </c>
      <c r="AD162">
        <v>0</v>
      </c>
      <c r="AE162">
        <v>2</v>
      </c>
      <c r="AF162">
        <v>0</v>
      </c>
      <c r="AG162">
        <v>1361</v>
      </c>
      <c r="AH162">
        <v>98</v>
      </c>
      <c r="AJ162">
        <v>43</v>
      </c>
      <c r="AK162">
        <v>1386</v>
      </c>
      <c r="AL162">
        <v>7.3583029499502822E-2</v>
      </c>
      <c r="AM162" t="s">
        <v>384</v>
      </c>
      <c r="AN162">
        <v>124</v>
      </c>
      <c r="AQ162">
        <v>3014</v>
      </c>
      <c r="AR162" s="8">
        <f>(Table2[[#This Row],[Tx_Arm_Patinet_Withdrawal_Consent]]+Table2[[#This Row],[Tx_am_lost_fu]]+Table2[[#This Row],[Tx_arm_noncomp]])/Table2[[#This Row],[Tx_arm_randomized_to_tx]]</f>
        <v>4.1141340411413402E-2</v>
      </c>
      <c r="AS162" t="s">
        <v>373</v>
      </c>
      <c r="AT162" t="s">
        <v>373</v>
      </c>
      <c r="AU162" t="s">
        <v>373</v>
      </c>
      <c r="AV162" t="s">
        <v>373</v>
      </c>
      <c r="AW162" s="8" t="e">
        <f>(Table2[[#This Row],[Cr_arm_patient_withdrawal_consent]]+Table2[[#This Row],[Cr_arm_lost_fu]]+Table2[[#This Row],[Cr_am_noncomp]])/Table2[[#This Row],[Cr_am_total_randomized+patients]]</f>
        <v>#VALUE!</v>
      </c>
      <c r="AX162">
        <v>0</v>
      </c>
      <c r="AY162">
        <v>0</v>
      </c>
      <c r="AZ162">
        <v>0</v>
      </c>
      <c r="BA162">
        <v>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54</v>
      </c>
      <c r="BI162" t="s">
        <v>54</v>
      </c>
    </row>
    <row r="163" spans="1:61" x14ac:dyDescent="0.2">
      <c r="A163" t="s">
        <v>77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 t="s">
        <v>48</v>
      </c>
      <c r="N163">
        <v>1</v>
      </c>
      <c r="O163">
        <v>2.4750000000000001</v>
      </c>
      <c r="P163" t="s">
        <v>56</v>
      </c>
      <c r="Q163" t="s">
        <v>50</v>
      </c>
      <c r="R163">
        <v>2</v>
      </c>
      <c r="S163">
        <v>0</v>
      </c>
      <c r="T163" t="s">
        <v>51</v>
      </c>
      <c r="U163" t="s">
        <v>52</v>
      </c>
      <c r="V163" t="s">
        <v>53</v>
      </c>
      <c r="W163">
        <v>326</v>
      </c>
      <c r="X163">
        <v>262</v>
      </c>
      <c r="Y163">
        <v>0.80368098159509205</v>
      </c>
      <c r="Z163">
        <v>28</v>
      </c>
      <c r="AA163">
        <v>51</v>
      </c>
      <c r="AB163">
        <v>40</v>
      </c>
      <c r="AC163">
        <v>0</v>
      </c>
      <c r="AD163">
        <v>3</v>
      </c>
      <c r="AE163">
        <v>28</v>
      </c>
      <c r="AF163">
        <v>5</v>
      </c>
      <c r="AG163">
        <v>210</v>
      </c>
      <c r="AH163">
        <v>1</v>
      </c>
      <c r="AJ163">
        <v>12</v>
      </c>
      <c r="AK163">
        <v>0</v>
      </c>
      <c r="AL163">
        <v>0.10429447852760736</v>
      </c>
      <c r="AN163">
        <v>19</v>
      </c>
      <c r="AO163" s="3">
        <v>2</v>
      </c>
      <c r="AQ163">
        <v>157</v>
      </c>
      <c r="AR163">
        <f>(Table2[[#This Row],[Tx_Arm_Patinet_Withdrawal_Consent]]+Table2[[#This Row],[Tx_am_lost_fu]]+Table2[[#This Row],[Tx_arm_noncomp]])/Table2[[#This Row],[Tx_arm_randomized_to_tx]]</f>
        <v>0.13375796178343949</v>
      </c>
      <c r="AS163">
        <v>9</v>
      </c>
      <c r="AT163">
        <v>3</v>
      </c>
      <c r="AU163">
        <v>1</v>
      </c>
      <c r="AV163">
        <v>159</v>
      </c>
      <c r="AW163">
        <f>(Table2[[#This Row],[Cr_arm_patient_withdrawal_consent]]+Table2[[#This Row],[Cr_arm_lost_fu]]+Table2[[#This Row],[Cr_am_noncomp]])/Table2[[#This Row],[Cr_am_total_randomized+patients]]</f>
        <v>8.1761006289308172E-2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 t="s">
        <v>54</v>
      </c>
      <c r="BI163" t="s">
        <v>54</v>
      </c>
    </row>
    <row r="164" spans="1:61" x14ac:dyDescent="0.2">
      <c r="A164" s="5" t="s">
        <v>105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48</v>
      </c>
      <c r="N164">
        <v>1</v>
      </c>
      <c r="O164">
        <v>5.833333333333333</v>
      </c>
      <c r="P164" t="s">
        <v>56</v>
      </c>
      <c r="Q164" t="s">
        <v>50</v>
      </c>
      <c r="R164">
        <v>2</v>
      </c>
      <c r="S164">
        <v>0</v>
      </c>
      <c r="T164" t="s">
        <v>51</v>
      </c>
      <c r="U164" t="s">
        <v>52</v>
      </c>
      <c r="V164" t="s">
        <v>53</v>
      </c>
      <c r="W164">
        <v>29</v>
      </c>
      <c r="X164">
        <v>23</v>
      </c>
      <c r="Y164">
        <v>0.7931034482758621</v>
      </c>
      <c r="Z164" s="6">
        <v>3</v>
      </c>
      <c r="AA164" s="6">
        <v>2</v>
      </c>
      <c r="AB164" s="6">
        <v>17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  <c r="AI164" s="6"/>
      <c r="AJ164" s="6">
        <v>0</v>
      </c>
      <c r="AK164" s="6">
        <v>0</v>
      </c>
      <c r="AL164">
        <v>0.13793103448275862</v>
      </c>
      <c r="AM164" t="s">
        <v>384</v>
      </c>
      <c r="AN164">
        <v>3</v>
      </c>
      <c r="AO164" s="3">
        <v>0</v>
      </c>
      <c r="AQ164">
        <v>12</v>
      </c>
      <c r="AR164" s="8">
        <f>(Table2[[#This Row],[Tx_Arm_Patinet_Withdrawal_Consent]]+Table2[[#This Row],[Tx_am_lost_fu]]+Table2[[#This Row],[Tx_arm_noncomp]])/Table2[[#This Row],[Tx_arm_randomized_to_tx]]</f>
        <v>0.25</v>
      </c>
      <c r="AS164">
        <v>0</v>
      </c>
      <c r="AV164">
        <v>17</v>
      </c>
      <c r="AW164" s="8">
        <f>(Table2[[#This Row],[Cr_arm_patient_withdrawal_consent]]+Table2[[#This Row],[Cr_arm_lost_fu]]+Table2[[#This Row],[Cr_am_noncomp]])/Table2[[#This Row],[Cr_am_total_randomized+patients]]</f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63</v>
      </c>
      <c r="BI164" t="s">
        <v>54</v>
      </c>
    </row>
    <row r="165" spans="1:61" x14ac:dyDescent="0.2">
      <c r="A165" s="5" t="s">
        <v>325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69</v>
      </c>
      <c r="N165">
        <v>0</v>
      </c>
      <c r="O165">
        <v>6.916666666666667</v>
      </c>
      <c r="P165" t="s">
        <v>61</v>
      </c>
      <c r="Q165" t="s">
        <v>56</v>
      </c>
      <c r="R165">
        <v>3</v>
      </c>
      <c r="S165">
        <v>0</v>
      </c>
      <c r="T165" t="s">
        <v>51</v>
      </c>
      <c r="U165" t="s">
        <v>52</v>
      </c>
      <c r="V165" t="s">
        <v>53</v>
      </c>
      <c r="W165">
        <v>133</v>
      </c>
      <c r="X165">
        <v>70</v>
      </c>
      <c r="Y165">
        <v>0.52631578947368418</v>
      </c>
      <c r="Z165">
        <v>1</v>
      </c>
      <c r="AA165">
        <v>1</v>
      </c>
      <c r="AB165">
        <v>64</v>
      </c>
      <c r="AC165">
        <v>0</v>
      </c>
      <c r="AD165">
        <v>0</v>
      </c>
      <c r="AE165">
        <v>1</v>
      </c>
      <c r="AF165">
        <v>2</v>
      </c>
      <c r="AG165">
        <v>0</v>
      </c>
      <c r="AH165">
        <v>1</v>
      </c>
      <c r="AJ165">
        <v>0</v>
      </c>
      <c r="AK165">
        <v>0</v>
      </c>
      <c r="AL165">
        <v>3.007518796992481E-2</v>
      </c>
      <c r="AM165" t="s">
        <v>385</v>
      </c>
      <c r="AN165">
        <v>1</v>
      </c>
      <c r="AQ165">
        <v>132</v>
      </c>
      <c r="AR165" s="8">
        <f>(Table2[[#This Row],[Tx_Arm_Patinet_Withdrawal_Consent]]+Table2[[#This Row],[Tx_am_lost_fu]]+Table2[[#This Row],[Tx_arm_noncomp]])/Table2[[#This Row],[Tx_arm_randomized_to_tx]]</f>
        <v>7.575757575757576E-3</v>
      </c>
      <c r="AS165" t="s">
        <v>373</v>
      </c>
      <c r="AT165" t="s">
        <v>373</v>
      </c>
      <c r="AU165" t="s">
        <v>373</v>
      </c>
      <c r="AV165" t="s">
        <v>49</v>
      </c>
      <c r="AW165" s="8" t="e">
        <f>(Table2[[#This Row],[Cr_arm_patient_withdrawal_consent]]+Table2[[#This Row],[Cr_arm_lost_fu]]+Table2[[#This Row],[Cr_am_noncomp]])/Table2[[#This Row],[Cr_am_total_randomized+patients]]</f>
        <v>#VALUE!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0</v>
      </c>
      <c r="BG165">
        <v>0</v>
      </c>
      <c r="BH165" t="s">
        <v>54</v>
      </c>
      <c r="BI165" t="s">
        <v>54</v>
      </c>
    </row>
    <row r="166" spans="1:61" x14ac:dyDescent="0.2">
      <c r="A166" t="s">
        <v>62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48</v>
      </c>
      <c r="N166">
        <v>1</v>
      </c>
      <c r="O166">
        <v>8.1138888888888889</v>
      </c>
      <c r="P166" t="s">
        <v>56</v>
      </c>
      <c r="Q166" t="s">
        <v>56</v>
      </c>
      <c r="R166">
        <v>1</v>
      </c>
      <c r="S166">
        <v>1</v>
      </c>
      <c r="T166" t="s">
        <v>51</v>
      </c>
      <c r="U166" t="s">
        <v>52</v>
      </c>
      <c r="V166" t="s">
        <v>53</v>
      </c>
      <c r="W166">
        <v>169</v>
      </c>
      <c r="X166">
        <v>54</v>
      </c>
      <c r="Y166">
        <v>0.31952662721893493</v>
      </c>
      <c r="Z166">
        <v>22</v>
      </c>
      <c r="AA166">
        <v>2</v>
      </c>
      <c r="AB166">
        <v>0</v>
      </c>
      <c r="AC166">
        <v>0</v>
      </c>
      <c r="AD166">
        <v>0</v>
      </c>
      <c r="AE166">
        <v>0</v>
      </c>
      <c r="AF166">
        <v>4</v>
      </c>
      <c r="AG166">
        <v>0</v>
      </c>
      <c r="AH166">
        <v>25</v>
      </c>
      <c r="AJ166">
        <v>1</v>
      </c>
      <c r="AK166">
        <v>0</v>
      </c>
      <c r="AL166">
        <v>0.30177514792899407</v>
      </c>
      <c r="AN166">
        <v>13</v>
      </c>
      <c r="AO166" s="3">
        <v>0</v>
      </c>
      <c r="AQ166">
        <v>118</v>
      </c>
      <c r="AR166">
        <f>(Table2[[#This Row],[Tx_Arm_Patinet_Withdrawal_Consent]]+Table2[[#This Row],[Tx_am_lost_fu]]+Table2[[#This Row],[Tx_arm_noncomp]])/Table2[[#This Row],[Tx_arm_randomized_to_tx]]</f>
        <v>0.11016949152542373</v>
      </c>
      <c r="AS166">
        <v>9</v>
      </c>
      <c r="AV166">
        <v>51</v>
      </c>
      <c r="AW166">
        <f>(Table2[[#This Row],[Cr_arm_patient_withdrawal_consent]]+Table2[[#This Row],[Cr_arm_lost_fu]]+Table2[[#This Row],[Cr_am_noncomp]])/Table2[[#This Row],[Cr_am_total_randomized+patients]]</f>
        <v>0.17647058823529413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 t="s">
        <v>54</v>
      </c>
      <c r="BI166" t="s">
        <v>63</v>
      </c>
    </row>
    <row r="167" spans="1:61" x14ac:dyDescent="0.2">
      <c r="A167" t="s">
        <v>131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48</v>
      </c>
      <c r="N167">
        <v>1</v>
      </c>
      <c r="O167">
        <v>0.31388888888888888</v>
      </c>
      <c r="P167" t="s">
        <v>56</v>
      </c>
      <c r="Q167" t="s">
        <v>56</v>
      </c>
      <c r="R167">
        <v>1</v>
      </c>
      <c r="S167">
        <v>1</v>
      </c>
      <c r="T167" t="s">
        <v>51</v>
      </c>
      <c r="U167" t="s">
        <v>52</v>
      </c>
      <c r="V167" t="s">
        <v>53</v>
      </c>
      <c r="W167">
        <v>572</v>
      </c>
      <c r="X167">
        <v>471</v>
      </c>
      <c r="Y167">
        <v>0.82342657342657344</v>
      </c>
      <c r="Z167">
        <v>32</v>
      </c>
      <c r="AA167">
        <v>17</v>
      </c>
      <c r="AB167">
        <v>381</v>
      </c>
      <c r="AC167">
        <v>0</v>
      </c>
      <c r="AD167">
        <v>0</v>
      </c>
      <c r="AE167">
        <v>0</v>
      </c>
      <c r="AF167">
        <v>32</v>
      </c>
      <c r="AG167">
        <v>8</v>
      </c>
      <c r="AH167">
        <v>0</v>
      </c>
      <c r="AJ167">
        <v>1</v>
      </c>
      <c r="AK167">
        <v>0</v>
      </c>
      <c r="AL167">
        <v>0.11188811188811189</v>
      </c>
      <c r="AN167">
        <v>22</v>
      </c>
      <c r="AO167" s="3">
        <v>0</v>
      </c>
      <c r="AQ167">
        <v>284</v>
      </c>
      <c r="AR167">
        <f>(Table2[[#This Row],[Tx_Arm_Patinet_Withdrawal_Consent]]+Table2[[#This Row],[Tx_am_lost_fu]]+Table2[[#This Row],[Tx_arm_noncomp]])/Table2[[#This Row],[Tx_arm_randomized_to_tx]]</f>
        <v>7.746478873239436E-2</v>
      </c>
      <c r="AS167">
        <v>10</v>
      </c>
      <c r="AV167">
        <v>288</v>
      </c>
      <c r="AW167">
        <f>(Table2[[#This Row],[Cr_arm_patient_withdrawal_consent]]+Table2[[#This Row],[Cr_arm_lost_fu]]+Table2[[#This Row],[Cr_am_noncomp]])/Table2[[#This Row],[Cr_am_total_randomized+patients]]</f>
        <v>3.4722222222222224E-2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54</v>
      </c>
      <c r="BI167" t="s">
        <v>54</v>
      </c>
    </row>
    <row r="168" spans="1:61" x14ac:dyDescent="0.2">
      <c r="A168" t="s">
        <v>157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48</v>
      </c>
      <c r="N168">
        <v>1</v>
      </c>
      <c r="O168">
        <v>3.9833333333333329</v>
      </c>
      <c r="P168" t="s">
        <v>50</v>
      </c>
      <c r="Q168" t="s">
        <v>50</v>
      </c>
      <c r="R168">
        <v>2</v>
      </c>
      <c r="S168">
        <v>0</v>
      </c>
      <c r="T168" t="s">
        <v>51</v>
      </c>
      <c r="U168" t="s">
        <v>52</v>
      </c>
      <c r="V168" t="s">
        <v>53</v>
      </c>
      <c r="W168">
        <v>430</v>
      </c>
      <c r="X168">
        <v>415</v>
      </c>
      <c r="Y168">
        <v>0.96511627906976749</v>
      </c>
      <c r="Z168">
        <v>37</v>
      </c>
      <c r="AA168">
        <v>51</v>
      </c>
      <c r="AB168">
        <v>304</v>
      </c>
      <c r="AC168">
        <v>0</v>
      </c>
      <c r="AD168">
        <v>0</v>
      </c>
      <c r="AE168">
        <v>12</v>
      </c>
      <c r="AF168">
        <v>0</v>
      </c>
      <c r="AG168">
        <v>10</v>
      </c>
      <c r="AH168">
        <v>1</v>
      </c>
      <c r="AJ168">
        <v>0</v>
      </c>
      <c r="AK168">
        <v>0</v>
      </c>
      <c r="AL168">
        <v>8.8372093023255813E-2</v>
      </c>
      <c r="AN168">
        <v>16</v>
      </c>
      <c r="AO168" s="3">
        <v>0</v>
      </c>
      <c r="AP168">
        <v>6</v>
      </c>
      <c r="AQ168">
        <v>211</v>
      </c>
      <c r="AR168">
        <f>(Table2[[#This Row],[Tx_Arm_Patinet_Withdrawal_Consent]]+Table2[[#This Row],[Tx_am_lost_fu]]+Table2[[#This Row],[Tx_arm_noncomp]])/Table2[[#This Row],[Tx_arm_randomized_to_tx]]</f>
        <v>0.10426540284360189</v>
      </c>
      <c r="AS168">
        <v>21</v>
      </c>
      <c r="AU168">
        <v>6</v>
      </c>
      <c r="AV168">
        <v>213</v>
      </c>
      <c r="AW168">
        <f>(Table2[[#This Row],[Cr_arm_patient_withdrawal_consent]]+Table2[[#This Row],[Cr_arm_lost_fu]]+Table2[[#This Row],[Cr_am_noncomp]])/Table2[[#This Row],[Cr_am_total_randomized+patients]]</f>
        <v>0.12676056338028169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54</v>
      </c>
      <c r="BI168" t="s">
        <v>54</v>
      </c>
    </row>
    <row r="169" spans="1:61" x14ac:dyDescent="0.2">
      <c r="A169" t="s">
        <v>355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 t="s">
        <v>48</v>
      </c>
      <c r="N169">
        <v>1</v>
      </c>
      <c r="O169">
        <v>0.35</v>
      </c>
      <c r="P169" t="s">
        <v>56</v>
      </c>
      <c r="Q169" t="s">
        <v>50</v>
      </c>
      <c r="R169">
        <v>2</v>
      </c>
      <c r="S169">
        <v>0</v>
      </c>
      <c r="T169" t="s">
        <v>51</v>
      </c>
      <c r="U169" t="s">
        <v>52</v>
      </c>
      <c r="V169" t="s">
        <v>53</v>
      </c>
      <c r="W169">
        <v>399</v>
      </c>
      <c r="X169">
        <v>281</v>
      </c>
      <c r="Y169">
        <v>0.7042606516290727</v>
      </c>
      <c r="Z169">
        <v>8</v>
      </c>
      <c r="AA169">
        <v>36</v>
      </c>
      <c r="AB169">
        <v>206</v>
      </c>
      <c r="AC169">
        <v>0</v>
      </c>
      <c r="AD169">
        <v>0</v>
      </c>
      <c r="AE169">
        <v>4</v>
      </c>
      <c r="AF169">
        <v>0</v>
      </c>
      <c r="AG169">
        <v>21</v>
      </c>
      <c r="AH169">
        <v>9</v>
      </c>
      <c r="AJ169">
        <v>6</v>
      </c>
      <c r="AK169">
        <v>0</v>
      </c>
      <c r="AL169">
        <v>4.2606516290726815E-2</v>
      </c>
      <c r="AN169">
        <v>7</v>
      </c>
      <c r="AO169" s="3">
        <v>0</v>
      </c>
      <c r="AQ169">
        <v>197</v>
      </c>
      <c r="AR169">
        <f>(Table2[[#This Row],[Tx_Arm_Patinet_Withdrawal_Consent]]+Table2[[#This Row],[Tx_am_lost_fu]]+Table2[[#This Row],[Tx_arm_noncomp]])/Table2[[#This Row],[Tx_arm_randomized_to_tx]]</f>
        <v>3.553299492385787E-2</v>
      </c>
      <c r="AS169">
        <v>1</v>
      </c>
      <c r="AV169">
        <v>95</v>
      </c>
      <c r="AW169">
        <f>(Table2[[#This Row],[Cr_arm_patient_withdrawal_consent]]+Table2[[#This Row],[Cr_arm_lost_fu]]+Table2[[#This Row],[Cr_am_noncomp]])/Table2[[#This Row],[Cr_am_total_randomized+patients]]</f>
        <v>1.0526315789473684E-2</v>
      </c>
      <c r="AX169">
        <v>0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54</v>
      </c>
      <c r="BI169" t="s">
        <v>63</v>
      </c>
    </row>
    <row r="170" spans="1:61" x14ac:dyDescent="0.2">
      <c r="A170" t="s">
        <v>109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48</v>
      </c>
      <c r="N170">
        <v>1</v>
      </c>
      <c r="O170">
        <v>10</v>
      </c>
      <c r="P170" t="s">
        <v>50</v>
      </c>
      <c r="Q170" t="s">
        <v>50</v>
      </c>
      <c r="R170">
        <v>1</v>
      </c>
      <c r="S170">
        <v>1</v>
      </c>
      <c r="T170" t="s">
        <v>51</v>
      </c>
      <c r="U170" t="s">
        <v>52</v>
      </c>
      <c r="V170" t="s">
        <v>53</v>
      </c>
      <c r="W170">
        <v>530</v>
      </c>
      <c r="X170">
        <v>153</v>
      </c>
      <c r="Y170">
        <v>0.28867924528301886</v>
      </c>
      <c r="Z170">
        <v>55</v>
      </c>
      <c r="AA170">
        <v>25</v>
      </c>
      <c r="AB170">
        <v>32</v>
      </c>
      <c r="AC170">
        <v>0</v>
      </c>
      <c r="AD170">
        <v>13</v>
      </c>
      <c r="AE170">
        <v>0</v>
      </c>
      <c r="AF170">
        <v>16</v>
      </c>
      <c r="AG170">
        <v>0</v>
      </c>
      <c r="AH170">
        <v>0</v>
      </c>
      <c r="AJ170">
        <v>12</v>
      </c>
      <c r="AK170">
        <v>0</v>
      </c>
      <c r="AL170">
        <v>0.13396226415094339</v>
      </c>
      <c r="AN170">
        <v>18</v>
      </c>
      <c r="AO170" s="3">
        <v>0</v>
      </c>
      <c r="AQ170">
        <v>263</v>
      </c>
      <c r="AR170">
        <f>(Table2[[#This Row],[Tx_Arm_Patinet_Withdrawal_Consent]]+Table2[[#This Row],[Tx_am_lost_fu]]+Table2[[#This Row],[Tx_arm_noncomp]])/Table2[[#This Row],[Tx_arm_randomized_to_tx]]</f>
        <v>6.8441064638783272E-2</v>
      </c>
      <c r="AS170">
        <v>15</v>
      </c>
      <c r="AV170">
        <v>267</v>
      </c>
      <c r="AW170">
        <f>(Table2[[#This Row],[Cr_arm_patient_withdrawal_consent]]+Table2[[#This Row],[Cr_arm_lost_fu]]+Table2[[#This Row],[Cr_am_noncomp]])/Table2[[#This Row],[Cr_am_total_randomized+patients]]</f>
        <v>5.6179775280898875E-2</v>
      </c>
      <c r="AX170">
        <v>0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57</v>
      </c>
      <c r="BI170" t="s">
        <v>63</v>
      </c>
    </row>
    <row r="171" spans="1:61" x14ac:dyDescent="0.2">
      <c r="A171" t="s">
        <v>294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48</v>
      </c>
      <c r="N171">
        <v>1</v>
      </c>
      <c r="O171">
        <v>0.18333333333333329</v>
      </c>
      <c r="P171" t="s">
        <v>50</v>
      </c>
      <c r="Q171" t="s">
        <v>50</v>
      </c>
      <c r="R171">
        <v>2</v>
      </c>
      <c r="S171">
        <v>0</v>
      </c>
      <c r="T171" t="s">
        <v>51</v>
      </c>
      <c r="U171" t="s">
        <v>52</v>
      </c>
      <c r="V171" t="s">
        <v>53</v>
      </c>
      <c r="W171">
        <v>902</v>
      </c>
      <c r="X171">
        <v>902</v>
      </c>
      <c r="Y171">
        <v>1</v>
      </c>
      <c r="Z171">
        <v>59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3</v>
      </c>
      <c r="AG171">
        <v>647</v>
      </c>
      <c r="AH171">
        <v>10</v>
      </c>
      <c r="AJ171">
        <v>1</v>
      </c>
      <c r="AK171">
        <v>180</v>
      </c>
      <c r="AL171">
        <v>7.9822616407982258E-2</v>
      </c>
      <c r="AN171">
        <v>17</v>
      </c>
      <c r="AO171" s="3">
        <v>0</v>
      </c>
      <c r="AQ171">
        <v>451</v>
      </c>
      <c r="AR171">
        <f>(Table2[[#This Row],[Tx_Arm_Patinet_Withdrawal_Consent]]+Table2[[#This Row],[Tx_am_lost_fu]]+Table2[[#This Row],[Tx_arm_noncomp]])/Table2[[#This Row],[Tx_arm_randomized_to_tx]]</f>
        <v>3.7694013303769404E-2</v>
      </c>
      <c r="AS171">
        <v>14</v>
      </c>
      <c r="AV171">
        <v>451</v>
      </c>
      <c r="AW171">
        <f>(Table2[[#This Row],[Cr_arm_patient_withdrawal_consent]]+Table2[[#This Row],[Cr_arm_lost_fu]]+Table2[[#This Row],[Cr_am_noncomp]])/Table2[[#This Row],[Cr_am_total_randomized+patients]]</f>
        <v>3.1042128603104215E-2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54</v>
      </c>
      <c r="BI171" t="s">
        <v>63</v>
      </c>
    </row>
    <row r="172" spans="1:61" x14ac:dyDescent="0.2">
      <c r="A172" s="5" t="s">
        <v>118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48</v>
      </c>
      <c r="N172">
        <v>1</v>
      </c>
      <c r="O172">
        <v>0.51388888888888884</v>
      </c>
      <c r="P172" t="s">
        <v>50</v>
      </c>
      <c r="Q172" t="s">
        <v>50</v>
      </c>
      <c r="R172">
        <v>2</v>
      </c>
      <c r="S172">
        <v>0</v>
      </c>
      <c r="T172" t="s">
        <v>51</v>
      </c>
      <c r="U172" t="s">
        <v>52</v>
      </c>
      <c r="V172" t="s">
        <v>53</v>
      </c>
      <c r="W172">
        <v>726</v>
      </c>
      <c r="X172">
        <v>726</v>
      </c>
      <c r="Y172">
        <v>1</v>
      </c>
      <c r="Z172">
        <v>46</v>
      </c>
      <c r="AA172">
        <v>60</v>
      </c>
      <c r="AB172">
        <v>514</v>
      </c>
      <c r="AC172">
        <v>0</v>
      </c>
      <c r="AD172">
        <v>0</v>
      </c>
      <c r="AE172">
        <v>0</v>
      </c>
      <c r="AF172">
        <v>42</v>
      </c>
      <c r="AG172">
        <v>3</v>
      </c>
      <c r="AH172">
        <v>0</v>
      </c>
      <c r="AJ172">
        <v>1</v>
      </c>
      <c r="AK172">
        <v>60</v>
      </c>
      <c r="AL172">
        <v>0.12121212121212122</v>
      </c>
      <c r="AM172" t="s">
        <v>385</v>
      </c>
      <c r="AN172">
        <v>38</v>
      </c>
      <c r="AQ172">
        <v>484</v>
      </c>
      <c r="AR172" s="8">
        <f>(Table2[[#This Row],[Tx_Arm_Patinet_Withdrawal_Consent]]+Table2[[#This Row],[Tx_am_lost_fu]]+Table2[[#This Row],[Tx_arm_noncomp]])/Table2[[#This Row],[Tx_arm_randomized_to_tx]]</f>
        <v>7.8512396694214878E-2</v>
      </c>
      <c r="AS172">
        <v>8</v>
      </c>
      <c r="AV172">
        <v>242</v>
      </c>
      <c r="AW172" s="8">
        <f>(Table2[[#This Row],[Cr_arm_patient_withdrawal_consent]]+Table2[[#This Row],[Cr_arm_lost_fu]]+Table2[[#This Row],[Cr_am_noncomp]])/Table2[[#This Row],[Cr_am_total_randomized+patients]]</f>
        <v>3.3057851239669422E-2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 t="s">
        <v>54</v>
      </c>
      <c r="BI172" t="s">
        <v>54</v>
      </c>
    </row>
    <row r="173" spans="1:61" x14ac:dyDescent="0.2">
      <c r="A173" t="s">
        <v>208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48</v>
      </c>
      <c r="N173">
        <v>1</v>
      </c>
      <c r="O173">
        <v>3.447222222222222</v>
      </c>
      <c r="P173" t="s">
        <v>56</v>
      </c>
      <c r="Q173" t="s">
        <v>56</v>
      </c>
      <c r="R173">
        <v>1</v>
      </c>
      <c r="S173">
        <v>1</v>
      </c>
      <c r="T173" t="s">
        <v>51</v>
      </c>
      <c r="U173" t="s">
        <v>90</v>
      </c>
      <c r="V173" t="s">
        <v>53</v>
      </c>
      <c r="W173">
        <v>442</v>
      </c>
      <c r="X173">
        <v>430</v>
      </c>
      <c r="Y173">
        <v>0.97285067873303166</v>
      </c>
      <c r="Z173">
        <v>30</v>
      </c>
      <c r="AA173">
        <v>43</v>
      </c>
      <c r="AB173">
        <v>287</v>
      </c>
      <c r="AC173">
        <v>0</v>
      </c>
      <c r="AD173">
        <v>0</v>
      </c>
      <c r="AE173">
        <v>57</v>
      </c>
      <c r="AF173">
        <v>0</v>
      </c>
      <c r="AG173">
        <v>9</v>
      </c>
      <c r="AH173">
        <v>0</v>
      </c>
      <c r="AJ173">
        <v>4</v>
      </c>
      <c r="AK173">
        <v>0</v>
      </c>
      <c r="AL173">
        <v>6.7873303167420809E-2</v>
      </c>
      <c r="AN173">
        <v>14</v>
      </c>
      <c r="AO173" s="3">
        <v>0</v>
      </c>
      <c r="AP173">
        <v>17</v>
      </c>
      <c r="AQ173">
        <v>221</v>
      </c>
      <c r="AR173">
        <f>(Table2[[#This Row],[Tx_Arm_Patinet_Withdrawal_Consent]]+Table2[[#This Row],[Tx_am_lost_fu]]+Table2[[#This Row],[Tx_arm_noncomp]])/Table2[[#This Row],[Tx_arm_randomized_to_tx]]</f>
        <v>0.14027149321266968</v>
      </c>
      <c r="AS173">
        <v>16</v>
      </c>
      <c r="AU173">
        <v>8</v>
      </c>
      <c r="AV173">
        <v>221</v>
      </c>
      <c r="AW173">
        <f>(Table2[[#This Row],[Cr_arm_patient_withdrawal_consent]]+Table2[[#This Row],[Cr_arm_lost_fu]]+Table2[[#This Row],[Cr_am_noncomp]])/Table2[[#This Row],[Cr_am_total_randomized+patients]]</f>
        <v>0.10859728506787331</v>
      </c>
      <c r="AX173">
        <v>0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 t="s">
        <v>54</v>
      </c>
      <c r="BI173" t="s">
        <v>54</v>
      </c>
    </row>
    <row r="174" spans="1:61" x14ac:dyDescent="0.2">
      <c r="A174" t="s">
        <v>281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</v>
      </c>
      <c r="N174">
        <v>1</v>
      </c>
      <c r="O174">
        <v>0.6</v>
      </c>
      <c r="P174" t="s">
        <v>50</v>
      </c>
      <c r="Q174" t="s">
        <v>50</v>
      </c>
      <c r="R174">
        <v>1</v>
      </c>
      <c r="S174">
        <v>1</v>
      </c>
      <c r="T174" t="s">
        <v>51</v>
      </c>
      <c r="U174" t="s">
        <v>52</v>
      </c>
      <c r="V174" t="s">
        <v>53</v>
      </c>
      <c r="W174">
        <v>915</v>
      </c>
      <c r="X174">
        <v>913</v>
      </c>
      <c r="Y174">
        <v>0.99781420765027318</v>
      </c>
      <c r="Z174">
        <v>57</v>
      </c>
      <c r="AA174">
        <v>1</v>
      </c>
      <c r="AB174">
        <v>3</v>
      </c>
      <c r="AC174">
        <v>1</v>
      </c>
      <c r="AD174">
        <v>0</v>
      </c>
      <c r="AE174">
        <v>0</v>
      </c>
      <c r="AF174">
        <v>10</v>
      </c>
      <c r="AG174">
        <v>533</v>
      </c>
      <c r="AH174">
        <v>12</v>
      </c>
      <c r="AJ174">
        <v>2</v>
      </c>
      <c r="AK174">
        <v>294</v>
      </c>
      <c r="AL174">
        <v>8.6338797814207655E-2</v>
      </c>
      <c r="AN174">
        <v>17</v>
      </c>
      <c r="AO174" s="3">
        <v>0</v>
      </c>
      <c r="AP174">
        <v>1</v>
      </c>
      <c r="AQ174">
        <v>454</v>
      </c>
      <c r="AR174">
        <f>(Table2[[#This Row],[Tx_Arm_Patinet_Withdrawal_Consent]]+Table2[[#This Row],[Tx_am_lost_fu]]+Table2[[#This Row],[Tx_arm_noncomp]])/Table2[[#This Row],[Tx_arm_randomized_to_tx]]</f>
        <v>3.9647577092511016E-2</v>
      </c>
      <c r="AS174">
        <v>21</v>
      </c>
      <c r="AU174">
        <v>3</v>
      </c>
      <c r="AV174">
        <v>461</v>
      </c>
      <c r="AW174">
        <f>(Table2[[#This Row],[Cr_arm_patient_withdrawal_consent]]+Table2[[#This Row],[Cr_arm_lost_fu]]+Table2[[#This Row],[Cr_am_noncomp]])/Table2[[#This Row],[Cr_am_total_randomized+patients]]</f>
        <v>5.2060737527114966E-2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54</v>
      </c>
      <c r="BI174" t="s">
        <v>63</v>
      </c>
    </row>
    <row r="175" spans="1:61" x14ac:dyDescent="0.2">
      <c r="A175" t="s">
        <v>198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 t="s">
        <v>48</v>
      </c>
      <c r="N175">
        <v>1</v>
      </c>
      <c r="O175">
        <v>3.3277777777777779</v>
      </c>
      <c r="P175" t="s">
        <v>50</v>
      </c>
      <c r="Q175" t="s">
        <v>50</v>
      </c>
      <c r="R175">
        <v>2</v>
      </c>
      <c r="S175">
        <v>0</v>
      </c>
      <c r="T175" t="s">
        <v>51</v>
      </c>
      <c r="U175" t="s">
        <v>52</v>
      </c>
      <c r="V175" t="s">
        <v>53</v>
      </c>
      <c r="W175">
        <v>478</v>
      </c>
      <c r="X175">
        <v>34</v>
      </c>
      <c r="Y175">
        <v>7.1129707112970716E-2</v>
      </c>
      <c r="Z175">
        <v>29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5</v>
      </c>
      <c r="AJ175">
        <v>0</v>
      </c>
      <c r="AK175">
        <v>0</v>
      </c>
      <c r="AL175">
        <v>7.1129707112970716E-2</v>
      </c>
      <c r="AN175">
        <v>10</v>
      </c>
      <c r="AO175" s="3">
        <v>2</v>
      </c>
      <c r="AQ175">
        <v>240</v>
      </c>
      <c r="AR175">
        <f>(Table2[[#This Row],[Tx_Arm_Patinet_Withdrawal_Consent]]+Table2[[#This Row],[Tx_am_lost_fu]]+Table2[[#This Row],[Tx_arm_noncomp]])/Table2[[#This Row],[Tx_arm_randomized_to_tx]]</f>
        <v>0.05</v>
      </c>
      <c r="AS175">
        <v>19</v>
      </c>
      <c r="AT175">
        <v>3</v>
      </c>
      <c r="AV175">
        <v>238</v>
      </c>
      <c r="AW175">
        <f>(Table2[[#This Row],[Cr_arm_patient_withdrawal_consent]]+Table2[[#This Row],[Cr_arm_lost_fu]]+Table2[[#This Row],[Cr_am_noncomp]])/Table2[[#This Row],[Cr_am_total_randomized+patients]]</f>
        <v>9.2436974789915971E-2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54</v>
      </c>
      <c r="BI175" t="s">
        <v>54</v>
      </c>
    </row>
    <row r="176" spans="1:61" x14ac:dyDescent="0.2">
      <c r="A176" t="s">
        <v>184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 t="s">
        <v>48</v>
      </c>
      <c r="N176">
        <v>1</v>
      </c>
      <c r="O176">
        <v>6.8166666666666664</v>
      </c>
      <c r="P176" t="s">
        <v>50</v>
      </c>
      <c r="Q176" t="s">
        <v>50</v>
      </c>
      <c r="R176">
        <v>1</v>
      </c>
      <c r="S176">
        <v>1</v>
      </c>
      <c r="T176" t="s">
        <v>51</v>
      </c>
      <c r="U176" t="s">
        <v>52</v>
      </c>
      <c r="V176" t="s">
        <v>53</v>
      </c>
      <c r="W176">
        <v>572</v>
      </c>
      <c r="X176">
        <v>471</v>
      </c>
      <c r="Y176">
        <v>0.82342657342657344</v>
      </c>
      <c r="Z176">
        <v>32</v>
      </c>
      <c r="AA176">
        <v>17</v>
      </c>
      <c r="AB176">
        <v>381</v>
      </c>
      <c r="AC176">
        <v>0</v>
      </c>
      <c r="AD176">
        <v>0</v>
      </c>
      <c r="AE176">
        <v>21</v>
      </c>
      <c r="AF176">
        <v>11</v>
      </c>
      <c r="AG176">
        <v>8</v>
      </c>
      <c r="AH176">
        <v>0</v>
      </c>
      <c r="AJ176">
        <v>1</v>
      </c>
      <c r="AK176">
        <v>0</v>
      </c>
      <c r="AL176">
        <v>7.5174825174825169E-2</v>
      </c>
      <c r="AN176">
        <v>17</v>
      </c>
      <c r="AO176" s="3">
        <v>0</v>
      </c>
      <c r="AP176">
        <v>59</v>
      </c>
      <c r="AQ176">
        <v>285</v>
      </c>
      <c r="AR176">
        <f>(Table2[[#This Row],[Tx_Arm_Patinet_Withdrawal_Consent]]+Table2[[#This Row],[Tx_am_lost_fu]]+Table2[[#This Row],[Tx_arm_noncomp]])/Table2[[#This Row],[Tx_arm_randomized_to_tx]]</f>
        <v>0.26666666666666666</v>
      </c>
      <c r="AS176">
        <v>24</v>
      </c>
      <c r="AU176">
        <v>48</v>
      </c>
      <c r="AV176">
        <v>287</v>
      </c>
      <c r="AW176">
        <f>(Table2[[#This Row],[Cr_arm_patient_withdrawal_consent]]+Table2[[#This Row],[Cr_arm_lost_fu]]+Table2[[#This Row],[Cr_am_noncomp]])/Table2[[#This Row],[Cr_am_total_randomized+patients]]</f>
        <v>0.25087108013937282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54</v>
      </c>
      <c r="BI176" t="s">
        <v>63</v>
      </c>
    </row>
    <row r="177" spans="1:61" x14ac:dyDescent="0.2">
      <c r="A177" t="s">
        <v>312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 t="s">
        <v>48</v>
      </c>
      <c r="N177">
        <v>1</v>
      </c>
      <c r="O177">
        <v>4.6916666666666664</v>
      </c>
      <c r="P177" t="s">
        <v>56</v>
      </c>
      <c r="Q177" t="s">
        <v>56</v>
      </c>
      <c r="R177">
        <v>2</v>
      </c>
      <c r="S177">
        <v>0</v>
      </c>
      <c r="T177" t="s">
        <v>51</v>
      </c>
      <c r="U177" t="s">
        <v>52</v>
      </c>
      <c r="V177" t="s">
        <v>53</v>
      </c>
      <c r="W177">
        <v>792</v>
      </c>
      <c r="X177">
        <v>747</v>
      </c>
      <c r="Y177">
        <v>0.94318181818181823</v>
      </c>
      <c r="Z177">
        <v>24</v>
      </c>
      <c r="AA177">
        <v>75</v>
      </c>
      <c r="AB177">
        <v>312</v>
      </c>
      <c r="AC177">
        <v>0</v>
      </c>
      <c r="AD177">
        <v>0</v>
      </c>
      <c r="AE177">
        <v>263</v>
      </c>
      <c r="AF177">
        <v>0</v>
      </c>
      <c r="AG177">
        <v>26</v>
      </c>
      <c r="AH177">
        <v>2</v>
      </c>
      <c r="AJ177">
        <v>45</v>
      </c>
      <c r="AK177">
        <v>0</v>
      </c>
      <c r="AL177">
        <v>3.2828282828282832E-2</v>
      </c>
      <c r="AN177">
        <v>7</v>
      </c>
      <c r="AO177" s="3">
        <v>0</v>
      </c>
      <c r="AQ177">
        <v>264</v>
      </c>
      <c r="AR177">
        <f>(Table2[[#This Row],[Tx_Arm_Patinet_Withdrawal_Consent]]+Table2[[#This Row],[Tx_am_lost_fu]]+Table2[[#This Row],[Tx_arm_noncomp]])/Table2[[#This Row],[Tx_arm_randomized_to_tx]]</f>
        <v>2.6515151515151516E-2</v>
      </c>
      <c r="AS177">
        <v>17</v>
      </c>
      <c r="AT177">
        <v>2</v>
      </c>
      <c r="AU177">
        <v>0</v>
      </c>
      <c r="AV177">
        <v>265</v>
      </c>
      <c r="AW177">
        <f>(Table2[[#This Row],[Cr_arm_patient_withdrawal_consent]]+Table2[[#This Row],[Cr_arm_lost_fu]]+Table2[[#This Row],[Cr_am_noncomp]])/Table2[[#This Row],[Cr_am_total_randomized+patients]]</f>
        <v>7.1698113207547168E-2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57</v>
      </c>
      <c r="BI177" t="s">
        <v>54</v>
      </c>
    </row>
    <row r="178" spans="1:61" x14ac:dyDescent="0.2">
      <c r="A178" t="s">
        <v>71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48</v>
      </c>
      <c r="N178">
        <v>1</v>
      </c>
      <c r="O178" t="s">
        <v>49</v>
      </c>
      <c r="P178" t="s">
        <v>50</v>
      </c>
      <c r="Q178" t="s">
        <v>50</v>
      </c>
      <c r="R178">
        <v>2</v>
      </c>
      <c r="S178">
        <v>1</v>
      </c>
      <c r="T178" t="s">
        <v>368</v>
      </c>
      <c r="U178" t="s">
        <v>52</v>
      </c>
      <c r="V178" t="s">
        <v>53</v>
      </c>
      <c r="W178">
        <v>90</v>
      </c>
      <c r="X178">
        <v>27</v>
      </c>
      <c r="Y178">
        <v>0.3</v>
      </c>
      <c r="Z178">
        <v>15</v>
      </c>
      <c r="AA178">
        <v>7</v>
      </c>
      <c r="AB178">
        <v>0</v>
      </c>
      <c r="AC178">
        <v>0</v>
      </c>
      <c r="AD178">
        <v>0</v>
      </c>
      <c r="AE178">
        <v>0</v>
      </c>
      <c r="AF178">
        <v>5</v>
      </c>
      <c r="AG178">
        <v>0</v>
      </c>
      <c r="AH178">
        <v>0</v>
      </c>
      <c r="AJ178">
        <v>0</v>
      </c>
      <c r="AK178">
        <v>0</v>
      </c>
      <c r="AL178">
        <v>0.22222222222222221</v>
      </c>
      <c r="AN178">
        <v>9</v>
      </c>
      <c r="AO178" s="3">
        <v>0</v>
      </c>
      <c r="AQ178">
        <v>45</v>
      </c>
      <c r="AR178">
        <f>(Table2[[#This Row],[Tx_Arm_Patinet_Withdrawal_Consent]]+Table2[[#This Row],[Tx_am_lost_fu]]+Table2[[#This Row],[Tx_arm_noncomp]])/Table2[[#This Row],[Tx_arm_randomized_to_tx]]</f>
        <v>0.2</v>
      </c>
      <c r="AS178">
        <v>6</v>
      </c>
      <c r="AV178">
        <v>45</v>
      </c>
      <c r="AW178">
        <f>(Table2[[#This Row],[Cr_arm_patient_withdrawal_consent]]+Table2[[#This Row],[Cr_arm_lost_fu]]+Table2[[#This Row],[Cr_am_noncomp]])/Table2[[#This Row],[Cr_am_total_randomized+patients]]</f>
        <v>0.13333333333333333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 t="s">
        <v>54</v>
      </c>
      <c r="BI178" t="s">
        <v>54</v>
      </c>
    </row>
    <row r="179" spans="1:61" x14ac:dyDescent="0.2">
      <c r="A179" t="s">
        <v>84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48</v>
      </c>
      <c r="N179">
        <v>1</v>
      </c>
      <c r="O179">
        <v>0.4</v>
      </c>
      <c r="P179" t="s">
        <v>56</v>
      </c>
      <c r="Q179" t="s">
        <v>50</v>
      </c>
      <c r="R179">
        <v>2</v>
      </c>
      <c r="S179">
        <v>0</v>
      </c>
      <c r="T179" t="s">
        <v>51</v>
      </c>
      <c r="U179" t="s">
        <v>52</v>
      </c>
      <c r="V179" t="s">
        <v>53</v>
      </c>
      <c r="W179">
        <v>823</v>
      </c>
      <c r="X179">
        <v>809</v>
      </c>
      <c r="Y179">
        <v>0.98298906439854195</v>
      </c>
      <c r="Z179">
        <v>43</v>
      </c>
      <c r="AA179">
        <v>162</v>
      </c>
      <c r="AB179">
        <v>392</v>
      </c>
      <c r="AC179">
        <v>0</v>
      </c>
      <c r="AD179">
        <v>0</v>
      </c>
      <c r="AE179">
        <v>0</v>
      </c>
      <c r="AF179">
        <v>202</v>
      </c>
      <c r="AG179">
        <v>9</v>
      </c>
      <c r="AH179">
        <v>1</v>
      </c>
      <c r="AJ179">
        <v>0</v>
      </c>
      <c r="AK179">
        <v>0</v>
      </c>
      <c r="AL179">
        <v>0.29890643985419196</v>
      </c>
      <c r="AN179">
        <v>17</v>
      </c>
      <c r="AO179" s="3">
        <v>0</v>
      </c>
      <c r="AQ179">
        <v>411</v>
      </c>
      <c r="AR179">
        <f>(Table2[[#This Row],[Tx_Arm_Patinet_Withdrawal_Consent]]+Table2[[#This Row],[Tx_am_lost_fu]]+Table2[[#This Row],[Tx_arm_noncomp]])/Table2[[#This Row],[Tx_arm_randomized_to_tx]]</f>
        <v>4.1362530413625302E-2</v>
      </c>
      <c r="AS179">
        <v>26</v>
      </c>
      <c r="AV179">
        <v>412</v>
      </c>
      <c r="AW179">
        <f>(Table2[[#This Row],[Cr_arm_patient_withdrawal_consent]]+Table2[[#This Row],[Cr_arm_lost_fu]]+Table2[[#This Row],[Cr_am_noncomp]])/Table2[[#This Row],[Cr_am_total_randomized+patients]]</f>
        <v>6.3106796116504854E-2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54</v>
      </c>
      <c r="BI179" t="s">
        <v>63</v>
      </c>
    </row>
    <row r="180" spans="1:61" x14ac:dyDescent="0.2">
      <c r="A180" t="s">
        <v>136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48</v>
      </c>
      <c r="N180">
        <v>1</v>
      </c>
      <c r="O180">
        <v>0.65277777777777779</v>
      </c>
      <c r="P180" t="s">
        <v>50</v>
      </c>
      <c r="Q180" t="s">
        <v>50</v>
      </c>
      <c r="R180">
        <v>2</v>
      </c>
      <c r="S180">
        <v>0</v>
      </c>
      <c r="T180" t="s">
        <v>51</v>
      </c>
      <c r="U180" t="s">
        <v>52</v>
      </c>
      <c r="V180" t="s">
        <v>73</v>
      </c>
      <c r="W180">
        <v>243</v>
      </c>
      <c r="X180">
        <v>210</v>
      </c>
      <c r="Y180">
        <v>0.86419753086419748</v>
      </c>
      <c r="Z180">
        <v>26</v>
      </c>
      <c r="AA180">
        <v>20</v>
      </c>
      <c r="AB180">
        <v>125</v>
      </c>
      <c r="AC180">
        <v>0</v>
      </c>
      <c r="AD180">
        <v>0</v>
      </c>
      <c r="AE180">
        <v>0</v>
      </c>
      <c r="AF180">
        <v>0</v>
      </c>
      <c r="AG180">
        <v>8</v>
      </c>
      <c r="AH180">
        <v>0</v>
      </c>
      <c r="AJ180">
        <v>31</v>
      </c>
      <c r="AK180">
        <v>0</v>
      </c>
      <c r="AL180">
        <v>0.10699588477366255</v>
      </c>
      <c r="AN180">
        <v>0</v>
      </c>
      <c r="AO180" s="3">
        <v>0</v>
      </c>
      <c r="AQ180">
        <v>164</v>
      </c>
      <c r="AR180">
        <f>(Table2[[#This Row],[Tx_Arm_Patinet_Withdrawal_Consent]]+Table2[[#This Row],[Tx_am_lost_fu]]+Table2[[#This Row],[Tx_arm_noncomp]])/Table2[[#This Row],[Tx_arm_randomized_to_tx]]</f>
        <v>0</v>
      </c>
      <c r="AS180">
        <v>0</v>
      </c>
      <c r="AT180">
        <v>0</v>
      </c>
      <c r="AU180">
        <v>0</v>
      </c>
      <c r="AV180">
        <v>79</v>
      </c>
      <c r="AW180">
        <f>(Table2[[#This Row],[Cr_arm_patient_withdrawal_consent]]+Table2[[#This Row],[Cr_arm_lost_fu]]+Table2[[#This Row],[Cr_am_noncomp]])/Table2[[#This Row],[Cr_am_total_randomized+patients]]</f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54</v>
      </c>
      <c r="BI180" t="s">
        <v>63</v>
      </c>
    </row>
    <row r="181" spans="1:61" x14ac:dyDescent="0.2">
      <c r="A181" t="s">
        <v>293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 t="s">
        <v>48</v>
      </c>
      <c r="N181">
        <v>1</v>
      </c>
      <c r="O181">
        <v>0.1</v>
      </c>
      <c r="P181" t="s">
        <v>56</v>
      </c>
      <c r="Q181" t="s">
        <v>56</v>
      </c>
      <c r="R181">
        <v>2</v>
      </c>
      <c r="S181">
        <v>0</v>
      </c>
      <c r="T181" t="s">
        <v>51</v>
      </c>
      <c r="U181" t="s">
        <v>52</v>
      </c>
      <c r="V181" t="s">
        <v>53</v>
      </c>
      <c r="W181">
        <v>592</v>
      </c>
      <c r="X181">
        <v>592</v>
      </c>
      <c r="Y181">
        <v>1</v>
      </c>
      <c r="Z181">
        <v>19</v>
      </c>
      <c r="AA181">
        <v>18</v>
      </c>
      <c r="AB181">
        <v>0</v>
      </c>
      <c r="AC181">
        <v>0</v>
      </c>
      <c r="AD181">
        <v>0</v>
      </c>
      <c r="AE181">
        <v>3</v>
      </c>
      <c r="AF181">
        <v>24</v>
      </c>
      <c r="AG181">
        <v>528</v>
      </c>
      <c r="AH181">
        <v>0</v>
      </c>
      <c r="AJ181">
        <v>0</v>
      </c>
      <c r="AK181">
        <v>0</v>
      </c>
      <c r="AL181">
        <v>7.2635135135135129E-2</v>
      </c>
      <c r="AN181">
        <v>7</v>
      </c>
      <c r="AO181" s="3">
        <v>0</v>
      </c>
      <c r="AP181">
        <v>15</v>
      </c>
      <c r="AQ181">
        <v>296</v>
      </c>
      <c r="AR181">
        <f>(Table2[[#This Row],[Tx_Arm_Patinet_Withdrawal_Consent]]+Table2[[#This Row],[Tx_am_lost_fu]]+Table2[[#This Row],[Tx_arm_noncomp]])/Table2[[#This Row],[Tx_arm_randomized_to_tx]]</f>
        <v>7.4324324324324328E-2</v>
      </c>
      <c r="AS181">
        <v>12</v>
      </c>
      <c r="AT181">
        <v>0</v>
      </c>
      <c r="AU181">
        <v>9</v>
      </c>
      <c r="AV181">
        <v>296</v>
      </c>
      <c r="AW181">
        <f>(Table2[[#This Row],[Cr_arm_patient_withdrawal_consent]]+Table2[[#This Row],[Cr_arm_lost_fu]]+Table2[[#This Row],[Cr_am_noncomp]])/Table2[[#This Row],[Cr_am_total_randomized+patients]]</f>
        <v>7.0945945945945943E-2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54</v>
      </c>
      <c r="BI181" t="s">
        <v>63</v>
      </c>
    </row>
    <row r="182" spans="1:61" x14ac:dyDescent="0.2">
      <c r="A182" t="s">
        <v>237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 t="s">
        <v>48</v>
      </c>
      <c r="N182">
        <v>1</v>
      </c>
      <c r="O182">
        <v>5.177777777777778</v>
      </c>
      <c r="P182" t="s">
        <v>50</v>
      </c>
      <c r="Q182" t="s">
        <v>50</v>
      </c>
      <c r="R182">
        <v>2</v>
      </c>
      <c r="S182">
        <v>1</v>
      </c>
      <c r="T182" t="s">
        <v>51</v>
      </c>
      <c r="U182" t="s">
        <v>52</v>
      </c>
      <c r="V182" t="s">
        <v>53</v>
      </c>
      <c r="W182">
        <v>736</v>
      </c>
      <c r="X182">
        <v>689</v>
      </c>
      <c r="Y182">
        <v>0.93614130434782605</v>
      </c>
      <c r="Z182">
        <v>39</v>
      </c>
      <c r="AA182">
        <v>81</v>
      </c>
      <c r="AB182">
        <v>548</v>
      </c>
      <c r="AC182">
        <v>0</v>
      </c>
      <c r="AD182">
        <v>0</v>
      </c>
      <c r="AE182">
        <v>3</v>
      </c>
      <c r="AF182">
        <v>1</v>
      </c>
      <c r="AG182">
        <v>0</v>
      </c>
      <c r="AH182">
        <v>3</v>
      </c>
      <c r="AJ182">
        <v>14</v>
      </c>
      <c r="AK182">
        <v>0</v>
      </c>
      <c r="AL182">
        <v>5.8423913043478264E-2</v>
      </c>
      <c r="AN182">
        <v>16</v>
      </c>
      <c r="AO182" s="3">
        <v>0</v>
      </c>
      <c r="AQ182">
        <v>487</v>
      </c>
      <c r="AR182">
        <f>(Table2[[#This Row],[Tx_Arm_Patinet_Withdrawal_Consent]]+Table2[[#This Row],[Tx_am_lost_fu]]+Table2[[#This Row],[Tx_arm_noncomp]])/Table2[[#This Row],[Tx_arm_randomized_to_tx]]</f>
        <v>3.2854209445585217E-2</v>
      </c>
      <c r="AS182">
        <v>23</v>
      </c>
      <c r="AV182">
        <v>249</v>
      </c>
      <c r="AW182">
        <f>(Table2[[#This Row],[Cr_arm_patient_withdrawal_consent]]+Table2[[#This Row],[Cr_arm_lost_fu]]+Table2[[#This Row],[Cr_am_noncomp]])/Table2[[#This Row],[Cr_am_total_randomized+patients]]</f>
        <v>9.2369477911646583E-2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54</v>
      </c>
      <c r="BI182" t="s">
        <v>54</v>
      </c>
    </row>
    <row r="183" spans="1:61" x14ac:dyDescent="0.2">
      <c r="A183" s="4" t="s">
        <v>86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 t="s">
        <v>48</v>
      </c>
      <c r="N183">
        <v>1</v>
      </c>
      <c r="O183">
        <v>5.9416666666666664</v>
      </c>
      <c r="P183" t="s">
        <v>56</v>
      </c>
      <c r="Q183" t="s">
        <v>56</v>
      </c>
      <c r="R183">
        <v>1</v>
      </c>
      <c r="S183">
        <v>0</v>
      </c>
      <c r="T183" t="s">
        <v>51</v>
      </c>
      <c r="U183" t="s">
        <v>52</v>
      </c>
      <c r="V183" t="s">
        <v>53</v>
      </c>
      <c r="W183">
        <v>25</v>
      </c>
      <c r="X183">
        <v>25</v>
      </c>
      <c r="Y183">
        <v>1</v>
      </c>
      <c r="Z183">
        <v>4</v>
      </c>
      <c r="AA183">
        <v>8</v>
      </c>
      <c r="AB183">
        <v>13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>
        <v>0</v>
      </c>
      <c r="AK183">
        <v>0</v>
      </c>
      <c r="AL183">
        <v>0.16</v>
      </c>
      <c r="AN183">
        <v>4</v>
      </c>
      <c r="AO183" s="3">
        <v>0</v>
      </c>
      <c r="AQ183">
        <v>17</v>
      </c>
      <c r="AR183">
        <f>(Table2[[#This Row],[Tx_Arm_Patinet_Withdrawal_Consent]]+Table2[[#This Row],[Tx_am_lost_fu]]+Table2[[#This Row],[Tx_arm_noncomp]])/Table2[[#This Row],[Tx_arm_randomized_to_tx]]</f>
        <v>0.23529411764705882</v>
      </c>
      <c r="AS183">
        <v>0</v>
      </c>
      <c r="AV183">
        <v>8</v>
      </c>
      <c r="AW183">
        <f>(Table2[[#This Row],[Cr_arm_patient_withdrawal_consent]]+Table2[[#This Row],[Cr_arm_lost_fu]]+Table2[[#This Row],[Cr_am_noncomp]])/Table2[[#This Row],[Cr_am_total_randomized+patients]]</f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 t="s">
        <v>54</v>
      </c>
      <c r="BI183" t="s">
        <v>54</v>
      </c>
    </row>
    <row r="184" spans="1:61" x14ac:dyDescent="0.2">
      <c r="A184" t="s">
        <v>275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 t="s">
        <v>48</v>
      </c>
      <c r="N184">
        <v>1</v>
      </c>
      <c r="O184">
        <v>0.23333333333333331</v>
      </c>
      <c r="P184" t="s">
        <v>50</v>
      </c>
      <c r="Q184" t="s">
        <v>50</v>
      </c>
      <c r="R184">
        <v>1</v>
      </c>
      <c r="S184">
        <v>1</v>
      </c>
      <c r="T184" t="s">
        <v>51</v>
      </c>
      <c r="U184" t="s">
        <v>52</v>
      </c>
      <c r="V184" t="s">
        <v>53</v>
      </c>
      <c r="W184">
        <v>723</v>
      </c>
      <c r="X184">
        <v>723</v>
      </c>
      <c r="Y184">
        <v>1</v>
      </c>
      <c r="Z184">
        <v>33</v>
      </c>
      <c r="AA184">
        <v>0</v>
      </c>
      <c r="AB184">
        <v>0</v>
      </c>
      <c r="AC184">
        <v>0</v>
      </c>
      <c r="AD184">
        <v>23</v>
      </c>
      <c r="AE184">
        <v>1</v>
      </c>
      <c r="AF184">
        <v>117</v>
      </c>
      <c r="AG184">
        <v>506</v>
      </c>
      <c r="AH184">
        <v>3</v>
      </c>
      <c r="AJ184">
        <v>36</v>
      </c>
      <c r="AK184">
        <v>4</v>
      </c>
      <c r="AL184">
        <v>0.21161825726141079</v>
      </c>
      <c r="AN184">
        <v>19</v>
      </c>
      <c r="AO184" s="3">
        <v>0</v>
      </c>
      <c r="AQ184">
        <v>483</v>
      </c>
      <c r="AR184">
        <f>(Table2[[#This Row],[Tx_Arm_Patinet_Withdrawal_Consent]]+Table2[[#This Row],[Tx_am_lost_fu]]+Table2[[#This Row],[Tx_arm_noncomp]])/Table2[[#This Row],[Tx_arm_randomized_to_tx]]</f>
        <v>3.9337474120082816E-2</v>
      </c>
      <c r="AS184">
        <v>10</v>
      </c>
      <c r="AV184">
        <v>240</v>
      </c>
      <c r="AW184">
        <f>(Table2[[#This Row],[Cr_arm_patient_withdrawal_consent]]+Table2[[#This Row],[Cr_arm_lost_fu]]+Table2[[#This Row],[Cr_am_noncomp]])/Table2[[#This Row],[Cr_am_total_randomized+patients]]</f>
        <v>4.1666666666666664E-2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54</v>
      </c>
      <c r="BI184" t="s">
        <v>63</v>
      </c>
    </row>
    <row r="185" spans="1:61" x14ac:dyDescent="0.2">
      <c r="A185" t="s">
        <v>169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 t="s">
        <v>48</v>
      </c>
      <c r="N185">
        <v>1</v>
      </c>
      <c r="O185">
        <v>3.469444444444445</v>
      </c>
      <c r="P185" t="s">
        <v>50</v>
      </c>
      <c r="Q185" t="s">
        <v>50</v>
      </c>
      <c r="R185">
        <v>1</v>
      </c>
      <c r="S185">
        <v>1</v>
      </c>
      <c r="T185" t="s">
        <v>51</v>
      </c>
      <c r="U185" t="s">
        <v>52</v>
      </c>
      <c r="V185" t="s">
        <v>53</v>
      </c>
      <c r="W185">
        <v>719</v>
      </c>
      <c r="X185">
        <v>338</v>
      </c>
      <c r="Y185">
        <v>0.47009735744089015</v>
      </c>
      <c r="Z185">
        <v>28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5</v>
      </c>
      <c r="AG185">
        <v>274</v>
      </c>
      <c r="AH185">
        <v>25</v>
      </c>
      <c r="AJ185">
        <v>6</v>
      </c>
      <c r="AK185">
        <v>0</v>
      </c>
      <c r="AL185">
        <v>8.0667593880389424E-2</v>
      </c>
      <c r="AN185">
        <v>14</v>
      </c>
      <c r="AO185" s="3">
        <v>0</v>
      </c>
      <c r="AQ185">
        <v>358</v>
      </c>
      <c r="AR185">
        <f>(Table2[[#This Row],[Tx_Arm_Patinet_Withdrawal_Consent]]+Table2[[#This Row],[Tx_am_lost_fu]]+Table2[[#This Row],[Tx_arm_noncomp]])/Table2[[#This Row],[Tx_arm_randomized_to_tx]]</f>
        <v>3.9106145251396648E-2</v>
      </c>
      <c r="AS185">
        <v>14</v>
      </c>
      <c r="AV185">
        <v>361</v>
      </c>
      <c r="AW185">
        <f>(Table2[[#This Row],[Cr_arm_patient_withdrawal_consent]]+Table2[[#This Row],[Cr_arm_lost_fu]]+Table2[[#This Row],[Cr_am_noncomp]])/Table2[[#This Row],[Cr_am_total_randomized+patients]]</f>
        <v>3.8781163434903045E-2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 t="s">
        <v>54</v>
      </c>
      <c r="BI185" t="s">
        <v>54</v>
      </c>
    </row>
    <row r="186" spans="1:61" x14ac:dyDescent="0.2">
      <c r="A186" t="s">
        <v>232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 t="s">
        <v>48</v>
      </c>
      <c r="N186">
        <v>1</v>
      </c>
      <c r="O186">
        <v>5.2555555555555564</v>
      </c>
      <c r="P186" t="s">
        <v>50</v>
      </c>
      <c r="Q186" t="s">
        <v>50</v>
      </c>
      <c r="R186">
        <v>2</v>
      </c>
      <c r="S186">
        <v>0</v>
      </c>
      <c r="T186" t="s">
        <v>51</v>
      </c>
      <c r="U186" t="s">
        <v>52</v>
      </c>
      <c r="V186" t="s">
        <v>53</v>
      </c>
      <c r="W186">
        <v>882</v>
      </c>
      <c r="X186">
        <v>879</v>
      </c>
      <c r="Y186">
        <v>0.99659863945578231</v>
      </c>
      <c r="Z186">
        <v>51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756</v>
      </c>
      <c r="AH186">
        <v>2</v>
      </c>
      <c r="AJ186">
        <v>0</v>
      </c>
      <c r="AK186">
        <v>70</v>
      </c>
      <c r="AL186">
        <v>6.0090702947845805E-2</v>
      </c>
      <c r="AN186">
        <v>22</v>
      </c>
      <c r="AO186" s="3">
        <v>0</v>
      </c>
      <c r="AQ186">
        <v>582</v>
      </c>
      <c r="AR186">
        <f>(Table2[[#This Row],[Tx_Arm_Patinet_Withdrawal_Consent]]+Table2[[#This Row],[Tx_am_lost_fu]]+Table2[[#This Row],[Tx_arm_noncomp]])/Table2[[#This Row],[Tx_arm_randomized_to_tx]]</f>
        <v>3.7800687285223365E-2</v>
      </c>
      <c r="AS186">
        <v>18</v>
      </c>
      <c r="AV186">
        <v>300</v>
      </c>
      <c r="AW186">
        <f>(Table2[[#This Row],[Cr_arm_patient_withdrawal_consent]]+Table2[[#This Row],[Cr_arm_lost_fu]]+Table2[[#This Row],[Cr_am_noncomp]])/Table2[[#This Row],[Cr_am_total_randomized+patients]]</f>
        <v>0.06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54</v>
      </c>
      <c r="BI186" t="s">
        <v>54</v>
      </c>
    </row>
    <row r="187" spans="1:61" x14ac:dyDescent="0.2">
      <c r="A187" t="s">
        <v>134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 t="s">
        <v>48</v>
      </c>
      <c r="N187">
        <v>1</v>
      </c>
      <c r="O187">
        <v>4.2444444444444436</v>
      </c>
      <c r="P187" t="s">
        <v>56</v>
      </c>
      <c r="Q187" t="s">
        <v>56</v>
      </c>
      <c r="R187">
        <v>2</v>
      </c>
      <c r="S187">
        <v>1</v>
      </c>
      <c r="T187" t="s">
        <v>51</v>
      </c>
      <c r="U187" t="s">
        <v>52</v>
      </c>
      <c r="V187" t="s">
        <v>53</v>
      </c>
      <c r="W187">
        <v>815</v>
      </c>
      <c r="X187">
        <v>742</v>
      </c>
      <c r="Y187">
        <v>0.9104294478527607</v>
      </c>
      <c r="Z187">
        <v>85</v>
      </c>
      <c r="AA187">
        <v>77</v>
      </c>
      <c r="AB187">
        <v>276</v>
      </c>
      <c r="AC187">
        <v>0</v>
      </c>
      <c r="AD187">
        <v>22</v>
      </c>
      <c r="AE187">
        <v>0</v>
      </c>
      <c r="AF187">
        <v>0</v>
      </c>
      <c r="AG187">
        <v>230</v>
      </c>
      <c r="AH187">
        <v>3</v>
      </c>
      <c r="AJ187">
        <v>49</v>
      </c>
      <c r="AK187">
        <v>0</v>
      </c>
      <c r="AL187">
        <v>0.10797546012269939</v>
      </c>
      <c r="AN187">
        <v>37</v>
      </c>
      <c r="AO187" s="3">
        <v>2</v>
      </c>
      <c r="AQ187">
        <v>408</v>
      </c>
      <c r="AR187">
        <f>(Table2[[#This Row],[Tx_Arm_Patinet_Withdrawal_Consent]]+Table2[[#This Row],[Tx_am_lost_fu]]+Table2[[#This Row],[Tx_arm_noncomp]])/Table2[[#This Row],[Tx_arm_randomized_to_tx]]</f>
        <v>9.5588235294117641E-2</v>
      </c>
      <c r="AS187">
        <v>48</v>
      </c>
      <c r="AT187">
        <v>1</v>
      </c>
      <c r="AV187">
        <v>407</v>
      </c>
      <c r="AW187">
        <f>(Table2[[#This Row],[Cr_arm_patient_withdrawal_consent]]+Table2[[#This Row],[Cr_arm_lost_fu]]+Table2[[#This Row],[Cr_am_noncomp]])/Table2[[#This Row],[Cr_am_total_randomized+patients]]</f>
        <v>0.12039312039312039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54</v>
      </c>
      <c r="BI187" t="s">
        <v>54</v>
      </c>
    </row>
    <row r="188" spans="1:61" x14ac:dyDescent="0.2">
      <c r="A188" t="s">
        <v>156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48</v>
      </c>
      <c r="N188">
        <v>1</v>
      </c>
      <c r="O188">
        <v>4.5777777777777784</v>
      </c>
      <c r="P188" t="s">
        <v>56</v>
      </c>
      <c r="Q188" t="s">
        <v>50</v>
      </c>
      <c r="R188">
        <v>2</v>
      </c>
      <c r="S188">
        <v>0</v>
      </c>
      <c r="T188" t="s">
        <v>51</v>
      </c>
      <c r="U188" t="s">
        <v>52</v>
      </c>
      <c r="V188" t="s">
        <v>73</v>
      </c>
      <c r="W188">
        <v>459</v>
      </c>
      <c r="X188">
        <v>459</v>
      </c>
      <c r="Y188">
        <v>1</v>
      </c>
      <c r="Z188">
        <v>34</v>
      </c>
      <c r="AA188">
        <v>91</v>
      </c>
      <c r="AB188">
        <v>300</v>
      </c>
      <c r="AC188">
        <v>0</v>
      </c>
      <c r="AD188">
        <v>0</v>
      </c>
      <c r="AE188">
        <v>7</v>
      </c>
      <c r="AF188">
        <v>4</v>
      </c>
      <c r="AG188">
        <v>12</v>
      </c>
      <c r="AH188">
        <v>3</v>
      </c>
      <c r="AJ188">
        <v>8</v>
      </c>
      <c r="AK188">
        <v>0</v>
      </c>
      <c r="AL188">
        <v>8.9324618736383449E-2</v>
      </c>
      <c r="AN188">
        <v>20</v>
      </c>
      <c r="AO188" s="3">
        <v>2</v>
      </c>
      <c r="AP188">
        <v>6</v>
      </c>
      <c r="AQ188">
        <v>230</v>
      </c>
      <c r="AR188">
        <f>(Table2[[#This Row],[Tx_Arm_Patinet_Withdrawal_Consent]]+Table2[[#This Row],[Tx_am_lost_fu]]+Table2[[#This Row],[Tx_arm_noncomp]])/Table2[[#This Row],[Tx_arm_randomized_to_tx]]</f>
        <v>0.12173913043478261</v>
      </c>
      <c r="AS188">
        <v>14</v>
      </c>
      <c r="AT188">
        <v>1</v>
      </c>
      <c r="AU188">
        <v>4</v>
      </c>
      <c r="AV188">
        <v>229</v>
      </c>
      <c r="AW188">
        <f>(Table2[[#This Row],[Cr_arm_patient_withdrawal_consent]]+Table2[[#This Row],[Cr_arm_lost_fu]]+Table2[[#This Row],[Cr_am_noncomp]])/Table2[[#This Row],[Cr_am_total_randomized+patients]]</f>
        <v>8.296943231441048E-2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54</v>
      </c>
      <c r="BI188" t="s">
        <v>54</v>
      </c>
    </row>
    <row r="189" spans="1:61" x14ac:dyDescent="0.2">
      <c r="A189" t="s">
        <v>155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48</v>
      </c>
      <c r="N189">
        <v>1</v>
      </c>
      <c r="O189">
        <v>5.3833333333333337</v>
      </c>
      <c r="P189" t="s">
        <v>56</v>
      </c>
      <c r="Q189" t="s">
        <v>56</v>
      </c>
      <c r="R189">
        <v>1</v>
      </c>
      <c r="S189">
        <v>1</v>
      </c>
      <c r="T189" t="s">
        <v>51</v>
      </c>
      <c r="U189" t="s">
        <v>52</v>
      </c>
      <c r="V189" t="s">
        <v>73</v>
      </c>
      <c r="W189">
        <v>400</v>
      </c>
      <c r="X189">
        <v>364</v>
      </c>
      <c r="Y189">
        <v>0.91</v>
      </c>
      <c r="Z189">
        <v>36</v>
      </c>
      <c r="AA189">
        <v>47</v>
      </c>
      <c r="AB189">
        <v>268</v>
      </c>
      <c r="AC189">
        <v>0</v>
      </c>
      <c r="AD189">
        <v>0</v>
      </c>
      <c r="AE189">
        <v>4</v>
      </c>
      <c r="AF189">
        <v>0</v>
      </c>
      <c r="AG189">
        <v>0</v>
      </c>
      <c r="AH189">
        <v>0</v>
      </c>
      <c r="AJ189">
        <v>9</v>
      </c>
      <c r="AK189">
        <v>0</v>
      </c>
      <c r="AL189">
        <v>0.09</v>
      </c>
      <c r="AN189">
        <v>23</v>
      </c>
      <c r="AO189" s="3">
        <v>0</v>
      </c>
      <c r="AP189">
        <v>3</v>
      </c>
      <c r="AQ189">
        <v>267</v>
      </c>
      <c r="AR189">
        <f>(Table2[[#This Row],[Tx_Arm_Patinet_Withdrawal_Consent]]+Table2[[#This Row],[Tx_am_lost_fu]]+Table2[[#This Row],[Tx_arm_noncomp]])/Table2[[#This Row],[Tx_arm_randomized_to_tx]]</f>
        <v>9.7378277153558054E-2</v>
      </c>
      <c r="AS189">
        <v>13</v>
      </c>
      <c r="AT189">
        <v>0</v>
      </c>
      <c r="AU189">
        <v>1</v>
      </c>
      <c r="AV189">
        <v>133</v>
      </c>
      <c r="AW189">
        <f>(Table2[[#This Row],[Cr_arm_patient_withdrawal_consent]]+Table2[[#This Row],[Cr_arm_lost_fu]]+Table2[[#This Row],[Cr_am_noncomp]])/Table2[[#This Row],[Cr_am_total_randomized+patients]]</f>
        <v>0.10526315789473684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54</v>
      </c>
      <c r="BI189" t="s">
        <v>54</v>
      </c>
    </row>
    <row r="190" spans="1:61" x14ac:dyDescent="0.2">
      <c r="A190" t="s">
        <v>99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 t="s">
        <v>48</v>
      </c>
      <c r="N190">
        <v>1</v>
      </c>
      <c r="O190">
        <v>3.1527777777777781</v>
      </c>
      <c r="P190" t="s">
        <v>56</v>
      </c>
      <c r="Q190" t="s">
        <v>50</v>
      </c>
      <c r="R190">
        <v>1</v>
      </c>
      <c r="S190">
        <v>1</v>
      </c>
      <c r="T190" t="s">
        <v>51</v>
      </c>
      <c r="U190" t="s">
        <v>52</v>
      </c>
      <c r="V190" t="s">
        <v>53</v>
      </c>
      <c r="W190">
        <v>706</v>
      </c>
      <c r="X190">
        <v>573</v>
      </c>
      <c r="Y190">
        <v>0.81161473087818692</v>
      </c>
      <c r="Z190">
        <v>92</v>
      </c>
      <c r="AA190">
        <v>62</v>
      </c>
      <c r="AB190">
        <v>362</v>
      </c>
      <c r="AC190">
        <v>0</v>
      </c>
      <c r="AD190">
        <v>0</v>
      </c>
      <c r="AE190">
        <v>4</v>
      </c>
      <c r="AF190">
        <v>0</v>
      </c>
      <c r="AG190">
        <v>0</v>
      </c>
      <c r="AH190">
        <v>10</v>
      </c>
      <c r="AJ190">
        <v>43</v>
      </c>
      <c r="AK190">
        <v>0</v>
      </c>
      <c r="AL190">
        <v>0.14447592067988668</v>
      </c>
      <c r="AN190">
        <v>9</v>
      </c>
      <c r="AO190" s="3">
        <v>0</v>
      </c>
      <c r="AQ190">
        <v>425</v>
      </c>
      <c r="AR190">
        <f>(Table2[[#This Row],[Tx_Arm_Patinet_Withdrawal_Consent]]+Table2[[#This Row],[Tx_am_lost_fu]]+Table2[[#This Row],[Tx_arm_noncomp]])/Table2[[#This Row],[Tx_arm_randomized_to_tx]]</f>
        <v>2.1176470588235293E-2</v>
      </c>
      <c r="AS190">
        <v>8</v>
      </c>
      <c r="AV190">
        <v>281</v>
      </c>
      <c r="AW190">
        <f>(Table2[[#This Row],[Cr_arm_patient_withdrawal_consent]]+Table2[[#This Row],[Cr_arm_lost_fu]]+Table2[[#This Row],[Cr_am_noncomp]])/Table2[[#This Row],[Cr_am_total_randomized+patients]]</f>
        <v>2.8469750889679714E-2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57</v>
      </c>
      <c r="BI190" t="s">
        <v>63</v>
      </c>
    </row>
    <row r="191" spans="1:61" x14ac:dyDescent="0.2">
      <c r="A191" t="s">
        <v>240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48</v>
      </c>
      <c r="N191">
        <v>1</v>
      </c>
      <c r="O191">
        <v>3.8194444444444451</v>
      </c>
      <c r="P191" t="s">
        <v>56</v>
      </c>
      <c r="Q191" t="s">
        <v>56</v>
      </c>
      <c r="R191">
        <v>2</v>
      </c>
      <c r="S191">
        <v>0</v>
      </c>
      <c r="T191" t="s">
        <v>51</v>
      </c>
      <c r="U191" t="s">
        <v>52</v>
      </c>
      <c r="V191" t="s">
        <v>53</v>
      </c>
      <c r="W191">
        <v>931</v>
      </c>
      <c r="X191">
        <v>828</v>
      </c>
      <c r="Y191">
        <v>0.88936627282491942</v>
      </c>
      <c r="Z191">
        <v>51</v>
      </c>
      <c r="AA191">
        <v>117</v>
      </c>
      <c r="AB191">
        <v>634</v>
      </c>
      <c r="AC191">
        <v>0</v>
      </c>
      <c r="AD191">
        <v>0</v>
      </c>
      <c r="AE191">
        <v>24</v>
      </c>
      <c r="AF191">
        <v>2</v>
      </c>
      <c r="AG191">
        <v>0</v>
      </c>
      <c r="AH191">
        <v>0</v>
      </c>
      <c r="AJ191">
        <v>0</v>
      </c>
      <c r="AK191">
        <v>0</v>
      </c>
      <c r="AL191">
        <v>5.6928034371643392E-2</v>
      </c>
      <c r="AN191">
        <v>13</v>
      </c>
      <c r="AO191" s="3">
        <v>0</v>
      </c>
      <c r="AP191">
        <v>4</v>
      </c>
      <c r="AQ191">
        <v>459</v>
      </c>
      <c r="AR191">
        <f>(Table2[[#This Row],[Tx_Arm_Patinet_Withdrawal_Consent]]+Table2[[#This Row],[Tx_am_lost_fu]]+Table2[[#This Row],[Tx_arm_noncomp]])/Table2[[#This Row],[Tx_arm_randomized_to_tx]]</f>
        <v>3.7037037037037035E-2</v>
      </c>
      <c r="AS191">
        <v>38</v>
      </c>
      <c r="AU191">
        <v>22</v>
      </c>
      <c r="AV191">
        <v>443</v>
      </c>
      <c r="AW191">
        <f>(Table2[[#This Row],[Cr_arm_patient_withdrawal_consent]]+Table2[[#This Row],[Cr_arm_lost_fu]]+Table2[[#This Row],[Cr_am_noncomp]])/Table2[[#This Row],[Cr_am_total_randomized+patients]]</f>
        <v>0.13544018058690746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54</v>
      </c>
      <c r="BI191" t="s">
        <v>54</v>
      </c>
    </row>
    <row r="192" spans="1:61" x14ac:dyDescent="0.2">
      <c r="A192" t="s">
        <v>89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 t="s">
        <v>48</v>
      </c>
      <c r="N192">
        <v>1</v>
      </c>
      <c r="O192">
        <v>1.822222222222222</v>
      </c>
      <c r="P192" t="s">
        <v>50</v>
      </c>
      <c r="Q192" t="s">
        <v>50</v>
      </c>
      <c r="R192">
        <v>3</v>
      </c>
      <c r="S192">
        <v>0</v>
      </c>
      <c r="T192" t="s">
        <v>51</v>
      </c>
      <c r="U192" t="s">
        <v>90</v>
      </c>
      <c r="V192" t="s">
        <v>53</v>
      </c>
      <c r="W192">
        <v>126</v>
      </c>
      <c r="X192">
        <v>105</v>
      </c>
      <c r="Y192">
        <v>0.83333333333333337</v>
      </c>
      <c r="Z192">
        <v>16</v>
      </c>
      <c r="AA192">
        <v>27</v>
      </c>
      <c r="AB192">
        <v>0</v>
      </c>
      <c r="AC192">
        <v>0</v>
      </c>
      <c r="AD192">
        <v>0</v>
      </c>
      <c r="AE192">
        <v>0</v>
      </c>
      <c r="AF192">
        <v>4</v>
      </c>
      <c r="AG192">
        <v>6</v>
      </c>
      <c r="AH192">
        <v>0</v>
      </c>
      <c r="AJ192">
        <v>0</v>
      </c>
      <c r="AK192">
        <v>43</v>
      </c>
      <c r="AL192">
        <v>0.15873015873015872</v>
      </c>
      <c r="AN192">
        <v>3</v>
      </c>
      <c r="AO192" s="3">
        <v>0</v>
      </c>
      <c r="AQ192">
        <v>64</v>
      </c>
      <c r="AR192">
        <f>(Table2[[#This Row],[Tx_Arm_Patinet_Withdrawal_Consent]]+Table2[[#This Row],[Tx_am_lost_fu]]+Table2[[#This Row],[Tx_arm_noncomp]])/Table2[[#This Row],[Tx_arm_randomized_to_tx]]</f>
        <v>4.6875E-2</v>
      </c>
      <c r="AS192">
        <v>8</v>
      </c>
      <c r="AV192">
        <v>62</v>
      </c>
      <c r="AW192">
        <f>(Table2[[#This Row],[Cr_arm_patient_withdrawal_consent]]+Table2[[#This Row],[Cr_arm_lost_fu]]+Table2[[#This Row],[Cr_am_noncomp]])/Table2[[#This Row],[Cr_am_total_randomized+patients]]</f>
        <v>0.12903225806451613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54</v>
      </c>
      <c r="BI192" t="s">
        <v>54</v>
      </c>
    </row>
    <row r="193" spans="1:61" x14ac:dyDescent="0.2">
      <c r="A193" t="s">
        <v>154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48</v>
      </c>
      <c r="N193">
        <v>1</v>
      </c>
      <c r="O193">
        <v>0.43888888888888888</v>
      </c>
      <c r="P193" t="s">
        <v>50</v>
      </c>
      <c r="Q193" t="s">
        <v>50</v>
      </c>
      <c r="R193">
        <v>3</v>
      </c>
      <c r="S193">
        <v>0</v>
      </c>
      <c r="T193" t="s">
        <v>51</v>
      </c>
      <c r="U193" t="s">
        <v>52</v>
      </c>
      <c r="V193" t="s">
        <v>53</v>
      </c>
      <c r="W193">
        <v>688</v>
      </c>
      <c r="X193">
        <v>647</v>
      </c>
      <c r="Y193">
        <v>0.94040697674418605</v>
      </c>
      <c r="Z193">
        <v>52</v>
      </c>
      <c r="AA193">
        <v>52</v>
      </c>
      <c r="AB193">
        <v>392</v>
      </c>
      <c r="AC193">
        <v>0</v>
      </c>
      <c r="AD193">
        <v>0</v>
      </c>
      <c r="AE193">
        <v>0</v>
      </c>
      <c r="AF193">
        <v>9</v>
      </c>
      <c r="AG193">
        <v>35</v>
      </c>
      <c r="AH193">
        <v>1</v>
      </c>
      <c r="AJ193">
        <v>41</v>
      </c>
      <c r="AK193">
        <v>0</v>
      </c>
      <c r="AL193">
        <v>9.0116279069767435E-2</v>
      </c>
      <c r="AN193">
        <v>7</v>
      </c>
      <c r="AO193" s="3">
        <v>0</v>
      </c>
      <c r="AQ193">
        <v>137</v>
      </c>
      <c r="AR193">
        <f>(Table2[[#This Row],[Tx_Arm_Patinet_Withdrawal_Consent]]+Table2[[#This Row],[Tx_am_lost_fu]]+Table2[[#This Row],[Tx_arm_noncomp]])/Table2[[#This Row],[Tx_arm_randomized_to_tx]]</f>
        <v>5.1094890510948905E-2</v>
      </c>
      <c r="AS193">
        <v>7</v>
      </c>
      <c r="AV193">
        <v>136</v>
      </c>
      <c r="AW193">
        <f>(Table2[[#This Row],[Cr_arm_patient_withdrawal_consent]]+Table2[[#This Row],[Cr_arm_lost_fu]]+Table2[[#This Row],[Cr_am_noncomp]])/Table2[[#This Row],[Cr_am_total_randomized+patients]]</f>
        <v>5.1470588235294115E-2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 t="s">
        <v>54</v>
      </c>
      <c r="BI193" t="s">
        <v>54</v>
      </c>
    </row>
    <row r="194" spans="1:61" x14ac:dyDescent="0.2">
      <c r="A194" t="s">
        <v>202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 t="s">
        <v>48</v>
      </c>
      <c r="N194">
        <v>1</v>
      </c>
      <c r="O194">
        <v>0.43611111111111112</v>
      </c>
      <c r="P194" t="s">
        <v>50</v>
      </c>
      <c r="Q194" t="s">
        <v>50</v>
      </c>
      <c r="R194">
        <v>1</v>
      </c>
      <c r="S194">
        <v>1</v>
      </c>
      <c r="T194" t="s">
        <v>51</v>
      </c>
      <c r="U194" t="s">
        <v>52</v>
      </c>
      <c r="V194" t="s">
        <v>53</v>
      </c>
      <c r="W194">
        <v>570</v>
      </c>
      <c r="X194">
        <v>159</v>
      </c>
      <c r="Y194">
        <v>0.27894736842105261</v>
      </c>
      <c r="Z194">
        <v>27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119</v>
      </c>
      <c r="AH194">
        <v>13</v>
      </c>
      <c r="AJ194">
        <v>0</v>
      </c>
      <c r="AK194">
        <v>0</v>
      </c>
      <c r="AL194">
        <v>7.0175438596491224E-2</v>
      </c>
      <c r="AN194">
        <v>10</v>
      </c>
      <c r="AO194" s="3">
        <v>0</v>
      </c>
      <c r="AQ194">
        <v>285</v>
      </c>
      <c r="AR194">
        <f>(Table2[[#This Row],[Tx_Arm_Patinet_Withdrawal_Consent]]+Table2[[#This Row],[Tx_am_lost_fu]]+Table2[[#This Row],[Tx_arm_noncomp]])/Table2[[#This Row],[Tx_arm_randomized_to_tx]]</f>
        <v>3.5087719298245612E-2</v>
      </c>
      <c r="AS194">
        <v>17</v>
      </c>
      <c r="AV194">
        <v>285</v>
      </c>
      <c r="AW194">
        <f>(Table2[[#This Row],[Cr_arm_patient_withdrawal_consent]]+Table2[[#This Row],[Cr_arm_lost_fu]]+Table2[[#This Row],[Cr_am_noncomp]])/Table2[[#This Row],[Cr_am_total_randomized+patients]]</f>
        <v>5.9649122807017542E-2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57</v>
      </c>
      <c r="BI194" t="s">
        <v>63</v>
      </c>
    </row>
    <row r="195" spans="1:61" x14ac:dyDescent="0.2">
      <c r="A195" t="s">
        <v>231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 t="s">
        <v>48</v>
      </c>
      <c r="N195">
        <v>1</v>
      </c>
      <c r="O195">
        <v>0.43611111111111112</v>
      </c>
      <c r="P195" t="s">
        <v>56</v>
      </c>
      <c r="Q195" t="s">
        <v>56</v>
      </c>
      <c r="R195">
        <v>2</v>
      </c>
      <c r="S195">
        <v>0</v>
      </c>
      <c r="T195" t="s">
        <v>51</v>
      </c>
      <c r="U195" t="s">
        <v>52</v>
      </c>
      <c r="V195" t="s">
        <v>53</v>
      </c>
      <c r="W195">
        <v>266</v>
      </c>
      <c r="X195">
        <v>210</v>
      </c>
      <c r="Y195">
        <v>0.78947368421052633</v>
      </c>
      <c r="Z195">
        <v>15</v>
      </c>
      <c r="AA195">
        <v>28</v>
      </c>
      <c r="AB195">
        <v>149</v>
      </c>
      <c r="AC195">
        <v>0</v>
      </c>
      <c r="AD195">
        <v>0</v>
      </c>
      <c r="AE195">
        <v>10</v>
      </c>
      <c r="AF195">
        <v>1</v>
      </c>
      <c r="AG195">
        <v>0</v>
      </c>
      <c r="AH195">
        <v>0</v>
      </c>
      <c r="AJ195">
        <v>7</v>
      </c>
      <c r="AK195">
        <v>0</v>
      </c>
      <c r="AL195">
        <v>6.0150375939849621E-2</v>
      </c>
      <c r="AN195">
        <v>5</v>
      </c>
      <c r="AO195" s="3">
        <v>0</v>
      </c>
      <c r="AQ195">
        <v>178</v>
      </c>
      <c r="AR195">
        <f>(Table2[[#This Row],[Tx_Arm_Patinet_Withdrawal_Consent]]+Table2[[#This Row],[Tx_am_lost_fu]]+Table2[[#This Row],[Tx_arm_noncomp]])/Table2[[#This Row],[Tx_arm_randomized_to_tx]]</f>
        <v>2.8089887640449437E-2</v>
      </c>
      <c r="AS195">
        <v>10</v>
      </c>
      <c r="AV195">
        <v>88</v>
      </c>
      <c r="AW195">
        <f>(Table2[[#This Row],[Cr_arm_patient_withdrawal_consent]]+Table2[[#This Row],[Cr_arm_lost_fu]]+Table2[[#This Row],[Cr_am_noncomp]])/Table2[[#This Row],[Cr_am_total_randomized+patients]]</f>
        <v>0.11363636363636363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54</v>
      </c>
      <c r="BI195" t="s">
        <v>63</v>
      </c>
    </row>
    <row r="196" spans="1:61" x14ac:dyDescent="0.2">
      <c r="A196" t="s">
        <v>189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 t="s">
        <v>48</v>
      </c>
      <c r="N196">
        <v>1</v>
      </c>
      <c r="O196">
        <v>3.5555555555555549</v>
      </c>
      <c r="P196" t="s">
        <v>50</v>
      </c>
      <c r="Q196" t="s">
        <v>50</v>
      </c>
      <c r="R196">
        <v>2</v>
      </c>
      <c r="S196">
        <v>0</v>
      </c>
      <c r="T196" t="s">
        <v>51</v>
      </c>
      <c r="U196" t="s">
        <v>52</v>
      </c>
      <c r="V196" t="s">
        <v>53</v>
      </c>
      <c r="W196">
        <v>1289</v>
      </c>
      <c r="X196">
        <v>1065</v>
      </c>
      <c r="Y196">
        <v>0.82622187742435993</v>
      </c>
      <c r="Z196">
        <v>95</v>
      </c>
      <c r="AA196">
        <v>101</v>
      </c>
      <c r="AB196">
        <v>525</v>
      </c>
      <c r="AC196">
        <v>50</v>
      </c>
      <c r="AD196">
        <v>0</v>
      </c>
      <c r="AE196">
        <v>277</v>
      </c>
      <c r="AF196">
        <v>0</v>
      </c>
      <c r="AG196">
        <v>14</v>
      </c>
      <c r="AH196">
        <v>0</v>
      </c>
      <c r="AJ196">
        <v>3</v>
      </c>
      <c r="AK196">
        <v>0</v>
      </c>
      <c r="AL196">
        <v>7.3700543056633053E-2</v>
      </c>
      <c r="AN196">
        <v>2</v>
      </c>
      <c r="AO196" s="3">
        <v>0</v>
      </c>
      <c r="AQ196">
        <v>98</v>
      </c>
      <c r="AR196">
        <f>(Table2[[#This Row],[Tx_Arm_Patinet_Withdrawal_Consent]]+Table2[[#This Row],[Tx_am_lost_fu]]+Table2[[#This Row],[Tx_arm_noncomp]])/Table2[[#This Row],[Tx_arm_randomized_to_tx]]</f>
        <v>2.0408163265306121E-2</v>
      </c>
      <c r="AS196">
        <v>8</v>
      </c>
      <c r="AT196">
        <v>1</v>
      </c>
      <c r="AV196">
        <v>106</v>
      </c>
      <c r="AW196">
        <f>(Table2[[#This Row],[Cr_arm_patient_withdrawal_consent]]+Table2[[#This Row],[Cr_arm_lost_fu]]+Table2[[#This Row],[Cr_am_noncomp]])/Table2[[#This Row],[Cr_am_total_randomized+patients]]</f>
        <v>8.4905660377358486E-2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54</v>
      </c>
      <c r="BI196" t="s">
        <v>54</v>
      </c>
    </row>
    <row r="197" spans="1:61" x14ac:dyDescent="0.2">
      <c r="A197" s="5" t="s">
        <v>111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48</v>
      </c>
      <c r="N197">
        <v>1</v>
      </c>
      <c r="O197">
        <v>0.48888888888888887</v>
      </c>
      <c r="P197" t="s">
        <v>50</v>
      </c>
      <c r="Q197" t="s">
        <v>50</v>
      </c>
      <c r="R197">
        <v>2</v>
      </c>
      <c r="S197">
        <v>1</v>
      </c>
      <c r="T197" t="s">
        <v>51</v>
      </c>
      <c r="U197" t="s">
        <v>52</v>
      </c>
      <c r="V197" t="s">
        <v>53</v>
      </c>
      <c r="W197">
        <v>672</v>
      </c>
      <c r="X197">
        <v>672</v>
      </c>
      <c r="Y197">
        <v>1</v>
      </c>
      <c r="Z197">
        <v>43</v>
      </c>
      <c r="AA197">
        <v>30</v>
      </c>
      <c r="AB197">
        <v>494</v>
      </c>
      <c r="AC197">
        <v>0</v>
      </c>
      <c r="AD197">
        <v>0</v>
      </c>
      <c r="AE197">
        <v>0</v>
      </c>
      <c r="AF197">
        <v>43</v>
      </c>
      <c r="AG197">
        <v>6</v>
      </c>
      <c r="AH197">
        <v>2</v>
      </c>
      <c r="AJ197">
        <v>0</v>
      </c>
      <c r="AK197">
        <v>54</v>
      </c>
      <c r="AL197">
        <v>0.13095238095238096</v>
      </c>
      <c r="AM197" t="s">
        <v>385</v>
      </c>
      <c r="AN197">
        <v>23</v>
      </c>
      <c r="AQ197">
        <v>335</v>
      </c>
      <c r="AR197" s="8">
        <f>(Table2[[#This Row],[Tx_Arm_Patinet_Withdrawal_Consent]]+Table2[[#This Row],[Tx_am_lost_fu]]+Table2[[#This Row],[Tx_arm_noncomp]])/Table2[[#This Row],[Tx_arm_randomized_to_tx]]</f>
        <v>6.8656716417910449E-2</v>
      </c>
      <c r="AS197">
        <v>20</v>
      </c>
      <c r="AV197">
        <v>337</v>
      </c>
      <c r="AW197" s="8">
        <f>(Table2[[#This Row],[Cr_arm_patient_withdrawal_consent]]+Table2[[#This Row],[Cr_arm_lost_fu]]+Table2[[#This Row],[Cr_am_noncomp]])/Table2[[#This Row],[Cr_am_total_randomized+patients]]</f>
        <v>5.9347181008902079E-2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 t="s">
        <v>54</v>
      </c>
      <c r="BI197" t="s">
        <v>54</v>
      </c>
    </row>
    <row r="198" spans="1:61" x14ac:dyDescent="0.2">
      <c r="A198" t="s">
        <v>351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 t="s">
        <v>352</v>
      </c>
      <c r="N198">
        <v>0</v>
      </c>
      <c r="O198">
        <v>2.5</v>
      </c>
      <c r="P198" t="s">
        <v>56</v>
      </c>
      <c r="Q198" t="s">
        <v>56</v>
      </c>
      <c r="R198">
        <v>2</v>
      </c>
      <c r="S198">
        <v>0</v>
      </c>
      <c r="T198" t="s">
        <v>51</v>
      </c>
      <c r="U198" t="s">
        <v>52</v>
      </c>
      <c r="V198" t="s">
        <v>53</v>
      </c>
      <c r="W198">
        <v>225</v>
      </c>
      <c r="X198">
        <v>8</v>
      </c>
      <c r="Y198">
        <v>3.5555555555555556E-2</v>
      </c>
      <c r="Z198">
        <v>3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J198">
        <v>2</v>
      </c>
      <c r="AK198">
        <v>0</v>
      </c>
      <c r="AL198">
        <v>2.2222222222222223E-2</v>
      </c>
      <c r="AN198">
        <v>0</v>
      </c>
      <c r="AO198" s="3">
        <v>0</v>
      </c>
      <c r="AQ198">
        <v>112</v>
      </c>
      <c r="AR198">
        <f>(Table2[[#This Row],[Tx_Arm_Patinet_Withdrawal_Consent]]+Table2[[#This Row],[Tx_am_lost_fu]]+Table2[[#This Row],[Tx_arm_noncomp]])/Table2[[#This Row],[Tx_arm_randomized_to_tx]]</f>
        <v>0</v>
      </c>
      <c r="AS198">
        <v>3</v>
      </c>
      <c r="AT198">
        <v>2</v>
      </c>
      <c r="AV198">
        <v>113</v>
      </c>
      <c r="AW198">
        <f>(Table2[[#This Row],[Cr_arm_patient_withdrawal_consent]]+Table2[[#This Row],[Cr_arm_lost_fu]]+Table2[[#This Row],[Cr_am_noncomp]])/Table2[[#This Row],[Cr_am_total_randomized+patients]]</f>
        <v>4.4247787610619468E-2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 t="s">
        <v>54</v>
      </c>
      <c r="BI198" t="s">
        <v>54</v>
      </c>
    </row>
    <row r="199" spans="1:61" x14ac:dyDescent="0.2">
      <c r="A199" t="s">
        <v>229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48</v>
      </c>
      <c r="N199">
        <v>1</v>
      </c>
      <c r="O199">
        <v>2.8361111111111108</v>
      </c>
      <c r="P199" t="s">
        <v>50</v>
      </c>
      <c r="Q199" t="s">
        <v>50</v>
      </c>
      <c r="R199">
        <v>1</v>
      </c>
      <c r="S199">
        <v>1</v>
      </c>
      <c r="T199" t="s">
        <v>51</v>
      </c>
      <c r="U199" t="s">
        <v>52</v>
      </c>
      <c r="V199" t="s">
        <v>53</v>
      </c>
      <c r="W199">
        <v>671</v>
      </c>
      <c r="X199">
        <v>217</v>
      </c>
      <c r="Y199">
        <v>0.32339791356184799</v>
      </c>
      <c r="Z199">
        <v>18</v>
      </c>
      <c r="AA199">
        <v>47</v>
      </c>
      <c r="AB199">
        <v>98</v>
      </c>
      <c r="AC199">
        <v>0</v>
      </c>
      <c r="AD199">
        <v>0</v>
      </c>
      <c r="AE199">
        <v>16</v>
      </c>
      <c r="AF199">
        <v>15</v>
      </c>
      <c r="AG199">
        <v>15</v>
      </c>
      <c r="AH199">
        <v>8</v>
      </c>
      <c r="AJ199">
        <v>0</v>
      </c>
      <c r="AK199">
        <v>0</v>
      </c>
      <c r="AL199">
        <v>6.1102831594634872E-2</v>
      </c>
      <c r="AN199">
        <v>27</v>
      </c>
      <c r="AO199" s="3">
        <v>0</v>
      </c>
      <c r="AP199">
        <v>7</v>
      </c>
      <c r="AQ199">
        <v>338</v>
      </c>
      <c r="AR199">
        <f>(Table2[[#This Row],[Tx_Arm_Patinet_Withdrawal_Consent]]+Table2[[#This Row],[Tx_am_lost_fu]]+Table2[[#This Row],[Tx_arm_noncomp]])/Table2[[#This Row],[Tx_arm_randomized_to_tx]]</f>
        <v>0.10059171597633136</v>
      </c>
      <c r="AS199">
        <v>15</v>
      </c>
      <c r="AT199">
        <v>2</v>
      </c>
      <c r="AU199">
        <v>18</v>
      </c>
      <c r="AV199">
        <v>333</v>
      </c>
      <c r="AW199">
        <f>(Table2[[#This Row],[Cr_arm_patient_withdrawal_consent]]+Table2[[#This Row],[Cr_arm_lost_fu]]+Table2[[#This Row],[Cr_am_noncomp]])/Table2[[#This Row],[Cr_am_total_randomized+patients]]</f>
        <v>0.10510510510510511</v>
      </c>
      <c r="AX199">
        <v>0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54</v>
      </c>
      <c r="BI199" t="s">
        <v>54</v>
      </c>
    </row>
    <row r="200" spans="1:61" x14ac:dyDescent="0.2">
      <c r="A200" t="s">
        <v>96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 t="s">
        <v>48</v>
      </c>
      <c r="N200">
        <v>1</v>
      </c>
      <c r="O200">
        <v>4.9083333333333332</v>
      </c>
      <c r="P200" t="s">
        <v>50</v>
      </c>
      <c r="Q200" t="s">
        <v>50</v>
      </c>
      <c r="R200">
        <v>2</v>
      </c>
      <c r="S200">
        <v>0</v>
      </c>
      <c r="T200" t="s">
        <v>51</v>
      </c>
      <c r="U200" t="s">
        <v>52</v>
      </c>
      <c r="V200" t="s">
        <v>53</v>
      </c>
      <c r="W200">
        <v>229</v>
      </c>
      <c r="X200">
        <v>59</v>
      </c>
      <c r="Y200">
        <v>0.2576419213973799</v>
      </c>
      <c r="Z200">
        <v>14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42</v>
      </c>
      <c r="AH200">
        <v>0</v>
      </c>
      <c r="AJ200">
        <v>3</v>
      </c>
      <c r="AK200">
        <v>0</v>
      </c>
      <c r="AL200">
        <v>6.1135371179039298E-2</v>
      </c>
      <c r="AN200">
        <v>29</v>
      </c>
      <c r="AO200" s="3">
        <v>0</v>
      </c>
      <c r="AP200">
        <v>3</v>
      </c>
      <c r="AQ200">
        <v>113</v>
      </c>
      <c r="AR200">
        <f>(Table2[[#This Row],[Tx_Arm_Patinet_Withdrawal_Consent]]+Table2[[#This Row],[Tx_am_lost_fu]]+Table2[[#This Row],[Tx_arm_noncomp]])/Table2[[#This Row],[Tx_arm_randomized_to_tx]]</f>
        <v>0.2831858407079646</v>
      </c>
      <c r="AS200">
        <v>5</v>
      </c>
      <c r="AU200">
        <v>1</v>
      </c>
      <c r="AV200">
        <v>115</v>
      </c>
      <c r="AW200">
        <f>(Table2[[#This Row],[Cr_arm_patient_withdrawal_consent]]+Table2[[#This Row],[Cr_arm_lost_fu]]+Table2[[#This Row],[Cr_am_noncomp]])/Table2[[#This Row],[Cr_am_total_randomized+patients]]</f>
        <v>5.2173913043478258E-2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54</v>
      </c>
      <c r="BI200" t="s">
        <v>54</v>
      </c>
    </row>
    <row r="201" spans="1:61" x14ac:dyDescent="0.2">
      <c r="A201" t="s">
        <v>267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 t="s">
        <v>48</v>
      </c>
      <c r="N201">
        <v>1</v>
      </c>
      <c r="O201">
        <v>3.8194444444444451</v>
      </c>
      <c r="P201" t="s">
        <v>56</v>
      </c>
      <c r="Q201" t="s">
        <v>56</v>
      </c>
      <c r="R201">
        <v>3</v>
      </c>
      <c r="S201">
        <v>0</v>
      </c>
      <c r="T201" t="s">
        <v>51</v>
      </c>
      <c r="U201" t="s">
        <v>52</v>
      </c>
      <c r="V201" t="s">
        <v>73</v>
      </c>
      <c r="W201">
        <v>258</v>
      </c>
      <c r="X201">
        <v>44</v>
      </c>
      <c r="Y201">
        <v>0.17054263565891473</v>
      </c>
      <c r="Z201">
        <v>2</v>
      </c>
      <c r="AA201">
        <v>7</v>
      </c>
      <c r="AB201">
        <v>26</v>
      </c>
      <c r="AC201">
        <v>0</v>
      </c>
      <c r="AD201">
        <v>0</v>
      </c>
      <c r="AE201">
        <v>3</v>
      </c>
      <c r="AF201">
        <v>4</v>
      </c>
      <c r="AG201">
        <v>1</v>
      </c>
      <c r="AH201">
        <v>1</v>
      </c>
      <c r="AJ201">
        <v>0</v>
      </c>
      <c r="AK201">
        <v>0</v>
      </c>
      <c r="AL201">
        <v>2.7131782945736434E-2</v>
      </c>
      <c r="AN201">
        <v>3</v>
      </c>
      <c r="AO201" s="3">
        <v>0</v>
      </c>
      <c r="AP201">
        <v>6</v>
      </c>
      <c r="AQ201">
        <v>130</v>
      </c>
      <c r="AR201">
        <f>(Table2[[#This Row],[Tx_Arm_Patinet_Withdrawal_Consent]]+Table2[[#This Row],[Tx_am_lost_fu]]+Table2[[#This Row],[Tx_arm_noncomp]])/Table2[[#This Row],[Tx_arm_randomized_to_tx]]</f>
        <v>6.9230769230769235E-2</v>
      </c>
      <c r="AS201">
        <v>2</v>
      </c>
      <c r="AU201">
        <v>10</v>
      </c>
      <c r="AV201">
        <v>128</v>
      </c>
      <c r="AW201">
        <f>(Table2[[#This Row],[Cr_arm_patient_withdrawal_consent]]+Table2[[#This Row],[Cr_arm_lost_fu]]+Table2[[#This Row],[Cr_am_noncomp]])/Table2[[#This Row],[Cr_am_total_randomized+patients]]</f>
        <v>9.375E-2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57</v>
      </c>
      <c r="BI201" t="s">
        <v>57</v>
      </c>
    </row>
    <row r="202" spans="1:61" x14ac:dyDescent="0.2">
      <c r="A202" t="s">
        <v>178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48</v>
      </c>
      <c r="N202">
        <v>1</v>
      </c>
      <c r="O202">
        <v>5.9416666666666664</v>
      </c>
      <c r="P202" t="s">
        <v>56</v>
      </c>
      <c r="Q202" t="s">
        <v>56</v>
      </c>
      <c r="R202">
        <v>2</v>
      </c>
      <c r="S202">
        <v>0</v>
      </c>
      <c r="T202" t="s">
        <v>51</v>
      </c>
      <c r="U202" t="s">
        <v>179</v>
      </c>
      <c r="V202" t="s">
        <v>73</v>
      </c>
      <c r="W202">
        <v>542</v>
      </c>
      <c r="X202">
        <v>541</v>
      </c>
      <c r="Y202">
        <v>0.99815498154981552</v>
      </c>
      <c r="Z202">
        <v>32</v>
      </c>
      <c r="AA202">
        <v>42</v>
      </c>
      <c r="AB202">
        <v>349</v>
      </c>
      <c r="AC202">
        <v>0</v>
      </c>
      <c r="AD202">
        <v>0</v>
      </c>
      <c r="AE202">
        <v>0</v>
      </c>
      <c r="AF202">
        <v>6</v>
      </c>
      <c r="AG202">
        <v>0</v>
      </c>
      <c r="AH202">
        <v>4</v>
      </c>
      <c r="AJ202">
        <v>0</v>
      </c>
      <c r="AK202">
        <v>108</v>
      </c>
      <c r="AL202">
        <v>7.7490774907749083E-2</v>
      </c>
      <c r="AN202">
        <v>10</v>
      </c>
      <c r="AO202" s="3">
        <v>0</v>
      </c>
      <c r="AQ202">
        <v>270</v>
      </c>
      <c r="AR202">
        <f>(Table2[[#This Row],[Tx_Arm_Patinet_Withdrawal_Consent]]+Table2[[#This Row],[Tx_am_lost_fu]]+Table2[[#This Row],[Tx_arm_noncomp]])/Table2[[#This Row],[Tx_arm_randomized_to_tx]]</f>
        <v>3.7037037037037035E-2</v>
      </c>
      <c r="AS202">
        <v>26</v>
      </c>
      <c r="AV202">
        <v>272</v>
      </c>
      <c r="AW202">
        <f>(Table2[[#This Row],[Cr_arm_patient_withdrawal_consent]]+Table2[[#This Row],[Cr_arm_lost_fu]]+Table2[[#This Row],[Cr_am_noncomp]])/Table2[[#This Row],[Cr_am_total_randomized+patients]]</f>
        <v>9.5588235294117641E-2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 t="s">
        <v>57</v>
      </c>
      <c r="BI202" t="s">
        <v>54</v>
      </c>
    </row>
    <row r="203" spans="1:61" x14ac:dyDescent="0.2">
      <c r="A203" t="s">
        <v>273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48</v>
      </c>
      <c r="N203">
        <v>1</v>
      </c>
      <c r="O203">
        <v>0.2277777777777778</v>
      </c>
      <c r="P203" t="s">
        <v>56</v>
      </c>
      <c r="Q203" t="s">
        <v>56</v>
      </c>
      <c r="R203">
        <v>1</v>
      </c>
      <c r="S203">
        <v>1</v>
      </c>
      <c r="T203" t="s">
        <v>51</v>
      </c>
      <c r="U203" t="s">
        <v>52</v>
      </c>
      <c r="V203" t="s">
        <v>53</v>
      </c>
      <c r="W203">
        <v>495</v>
      </c>
      <c r="X203">
        <v>495</v>
      </c>
      <c r="Y203">
        <v>1</v>
      </c>
      <c r="Z203">
        <v>35</v>
      </c>
      <c r="AA203">
        <v>15</v>
      </c>
      <c r="AB203">
        <v>0</v>
      </c>
      <c r="AC203">
        <v>0</v>
      </c>
      <c r="AD203">
        <v>0</v>
      </c>
      <c r="AE203">
        <v>0</v>
      </c>
      <c r="AF203">
        <v>11</v>
      </c>
      <c r="AG203">
        <v>426</v>
      </c>
      <c r="AH203">
        <v>0</v>
      </c>
      <c r="AJ203">
        <v>8</v>
      </c>
      <c r="AK203">
        <v>0</v>
      </c>
      <c r="AL203">
        <v>9.2929292929292931E-2</v>
      </c>
      <c r="AN203">
        <v>9</v>
      </c>
      <c r="AO203" s="3">
        <v>0</v>
      </c>
      <c r="AQ203">
        <v>247</v>
      </c>
      <c r="AR203">
        <f>(Table2[[#This Row],[Tx_Arm_Patinet_Withdrawal_Consent]]+Table2[[#This Row],[Tx_am_lost_fu]]+Table2[[#This Row],[Tx_arm_noncomp]])/Table2[[#This Row],[Tx_arm_randomized_to_tx]]</f>
        <v>3.643724696356275E-2</v>
      </c>
      <c r="AS203">
        <v>13</v>
      </c>
      <c r="AV203">
        <v>248</v>
      </c>
      <c r="AW203">
        <f>(Table2[[#This Row],[Cr_arm_patient_withdrawal_consent]]+Table2[[#This Row],[Cr_arm_lost_fu]]+Table2[[#This Row],[Cr_am_noncomp]])/Table2[[#This Row],[Cr_am_total_randomized+patients]]</f>
        <v>5.2419354838709679E-2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57</v>
      </c>
      <c r="BI203" t="s">
        <v>63</v>
      </c>
    </row>
    <row r="204" spans="1:61" x14ac:dyDescent="0.2">
      <c r="A204" t="s">
        <v>135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48</v>
      </c>
      <c r="N204">
        <v>1</v>
      </c>
      <c r="O204" t="s">
        <v>49</v>
      </c>
      <c r="P204" t="s">
        <v>50</v>
      </c>
      <c r="Q204" t="s">
        <v>50</v>
      </c>
      <c r="R204">
        <v>2</v>
      </c>
      <c r="S204">
        <v>0</v>
      </c>
      <c r="T204" t="s">
        <v>368</v>
      </c>
      <c r="U204" t="s">
        <v>52</v>
      </c>
      <c r="V204" t="s">
        <v>53</v>
      </c>
      <c r="W204">
        <v>204</v>
      </c>
      <c r="X204">
        <v>74</v>
      </c>
      <c r="Y204">
        <v>0.36274509803921567</v>
      </c>
      <c r="Z204">
        <v>18</v>
      </c>
      <c r="AA204">
        <v>0</v>
      </c>
      <c r="AB204">
        <v>0</v>
      </c>
      <c r="AC204">
        <v>0</v>
      </c>
      <c r="AD204">
        <v>0</v>
      </c>
      <c r="AE204">
        <v>54</v>
      </c>
      <c r="AF204">
        <v>3</v>
      </c>
      <c r="AG204">
        <v>0</v>
      </c>
      <c r="AH204">
        <v>1</v>
      </c>
      <c r="AJ204">
        <v>0</v>
      </c>
      <c r="AK204">
        <v>0</v>
      </c>
      <c r="AL204">
        <v>0.10784313725490197</v>
      </c>
      <c r="AN204">
        <v>2</v>
      </c>
      <c r="AO204" s="3">
        <v>0</v>
      </c>
      <c r="AQ204">
        <v>102</v>
      </c>
      <c r="AR204">
        <f>(Table2[[#This Row],[Tx_Arm_Patinet_Withdrawal_Consent]]+Table2[[#This Row],[Tx_am_lost_fu]]+Table2[[#This Row],[Tx_arm_noncomp]])/Table2[[#This Row],[Tx_arm_randomized_to_tx]]</f>
        <v>1.9607843137254902E-2</v>
      </c>
      <c r="AS204" t="s">
        <v>373</v>
      </c>
      <c r="AT204" t="s">
        <v>373</v>
      </c>
      <c r="AU204" t="s">
        <v>373</v>
      </c>
      <c r="AV204">
        <v>102</v>
      </c>
      <c r="AW204" t="e">
        <f>(Table2[[#This Row],[Cr_arm_patient_withdrawal_consent]]+Table2[[#This Row],[Cr_arm_lost_fu]]+Table2[[#This Row],[Cr_am_noncomp]])/Table2[[#This Row],[Cr_am_total_randomized+patients]]</f>
        <v>#VALUE!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54</v>
      </c>
      <c r="BI204" t="s">
        <v>54</v>
      </c>
    </row>
    <row r="205" spans="1:61" x14ac:dyDescent="0.2">
      <c r="A205" t="s">
        <v>330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 t="s">
        <v>48</v>
      </c>
      <c r="N205">
        <v>1</v>
      </c>
      <c r="O205">
        <v>6.1111111111111109E-2</v>
      </c>
      <c r="P205" t="s">
        <v>56</v>
      </c>
      <c r="Q205" t="s">
        <v>56</v>
      </c>
      <c r="R205">
        <v>2</v>
      </c>
      <c r="S205">
        <v>0</v>
      </c>
      <c r="T205" t="s">
        <v>51</v>
      </c>
      <c r="U205" t="s">
        <v>52</v>
      </c>
      <c r="V205" t="s">
        <v>53</v>
      </c>
      <c r="W205">
        <v>1274</v>
      </c>
      <c r="X205">
        <v>1274</v>
      </c>
      <c r="Y205">
        <v>1</v>
      </c>
      <c r="Z205">
        <v>20</v>
      </c>
      <c r="AA205">
        <v>201</v>
      </c>
      <c r="AB205">
        <v>0</v>
      </c>
      <c r="AC205">
        <v>0</v>
      </c>
      <c r="AD205">
        <v>0</v>
      </c>
      <c r="AE205">
        <v>0</v>
      </c>
      <c r="AF205">
        <v>121</v>
      </c>
      <c r="AG205">
        <v>926</v>
      </c>
      <c r="AH205">
        <v>4</v>
      </c>
      <c r="AJ205">
        <v>0</v>
      </c>
      <c r="AK205">
        <v>2</v>
      </c>
      <c r="AL205">
        <v>0.11381475667189953</v>
      </c>
      <c r="AN205">
        <v>12</v>
      </c>
      <c r="AO205" s="3">
        <v>0</v>
      </c>
      <c r="AQ205">
        <v>637</v>
      </c>
      <c r="AR205">
        <f>(Table2[[#This Row],[Tx_Arm_Patinet_Withdrawal_Consent]]+Table2[[#This Row],[Tx_am_lost_fu]]+Table2[[#This Row],[Tx_arm_noncomp]])/Table2[[#This Row],[Tx_arm_randomized_to_tx]]</f>
        <v>1.8838304552590265E-2</v>
      </c>
      <c r="AS205">
        <v>21</v>
      </c>
      <c r="AV205">
        <v>637</v>
      </c>
      <c r="AW205">
        <f>(Table2[[#This Row],[Cr_arm_patient_withdrawal_consent]]+Table2[[#This Row],[Cr_arm_lost_fu]]+Table2[[#This Row],[Cr_am_noncomp]])/Table2[[#This Row],[Cr_am_total_randomized+patients]]</f>
        <v>3.2967032967032968E-2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57</v>
      </c>
      <c r="BI205" t="s">
        <v>63</v>
      </c>
    </row>
    <row r="206" spans="1:61" x14ac:dyDescent="0.2">
      <c r="A206" t="s">
        <v>354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 t="s">
        <v>48</v>
      </c>
      <c r="N206">
        <v>1</v>
      </c>
      <c r="O206">
        <v>3.552777777777778</v>
      </c>
      <c r="P206" t="s">
        <v>56</v>
      </c>
      <c r="Q206" t="s">
        <v>56</v>
      </c>
      <c r="R206">
        <v>2</v>
      </c>
      <c r="S206">
        <v>0</v>
      </c>
      <c r="T206" t="s">
        <v>51</v>
      </c>
      <c r="U206" t="s">
        <v>52</v>
      </c>
      <c r="V206" t="s">
        <v>53</v>
      </c>
      <c r="W206">
        <v>394</v>
      </c>
      <c r="X206">
        <v>54</v>
      </c>
      <c r="Y206">
        <v>0.13705583756345177</v>
      </c>
      <c r="Z206">
        <v>7</v>
      </c>
      <c r="AA206">
        <v>3</v>
      </c>
      <c r="AB206">
        <v>41</v>
      </c>
      <c r="AC206">
        <v>0</v>
      </c>
      <c r="AD206">
        <v>0</v>
      </c>
      <c r="AE206">
        <v>2</v>
      </c>
      <c r="AF206">
        <v>0</v>
      </c>
      <c r="AG206">
        <v>0</v>
      </c>
      <c r="AH206">
        <v>1</v>
      </c>
      <c r="AJ206">
        <v>0</v>
      </c>
      <c r="AK206">
        <v>0</v>
      </c>
      <c r="AL206">
        <v>2.030456852791878E-2</v>
      </c>
      <c r="AN206">
        <v>4</v>
      </c>
      <c r="AO206" s="3">
        <v>0</v>
      </c>
      <c r="AQ206">
        <v>196</v>
      </c>
      <c r="AR206">
        <f>(Table2[[#This Row],[Tx_Arm_Patinet_Withdrawal_Consent]]+Table2[[#This Row],[Tx_am_lost_fu]]+Table2[[#This Row],[Tx_arm_noncomp]])/Table2[[#This Row],[Tx_arm_randomized_to_tx]]</f>
        <v>2.0408163265306121E-2</v>
      </c>
      <c r="AS206">
        <v>3</v>
      </c>
      <c r="AV206">
        <v>198</v>
      </c>
      <c r="AW206">
        <f>(Table2[[#This Row],[Cr_arm_patient_withdrawal_consent]]+Table2[[#This Row],[Cr_arm_lost_fu]]+Table2[[#This Row],[Cr_am_noncomp]])/Table2[[#This Row],[Cr_am_total_randomized+patients]]</f>
        <v>1.5151515151515152E-2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54</v>
      </c>
      <c r="BI206" t="s">
        <v>57</v>
      </c>
    </row>
    <row r="207" spans="1:61" x14ac:dyDescent="0.2">
      <c r="A207" t="s">
        <v>117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48</v>
      </c>
      <c r="N207">
        <v>1</v>
      </c>
      <c r="O207">
        <v>6.75</v>
      </c>
      <c r="P207" t="s">
        <v>56</v>
      </c>
      <c r="Q207" t="s">
        <v>56</v>
      </c>
      <c r="R207">
        <v>1</v>
      </c>
      <c r="S207">
        <v>1</v>
      </c>
      <c r="T207" t="s">
        <v>51</v>
      </c>
      <c r="U207" t="s">
        <v>52</v>
      </c>
      <c r="V207" t="s">
        <v>53</v>
      </c>
      <c r="W207">
        <v>1509</v>
      </c>
      <c r="X207">
        <v>748</v>
      </c>
      <c r="Y207">
        <v>0.49569251159708416</v>
      </c>
      <c r="Z207">
        <v>162</v>
      </c>
      <c r="AA207">
        <v>134</v>
      </c>
      <c r="AB207">
        <v>264</v>
      </c>
      <c r="AC207">
        <v>0</v>
      </c>
      <c r="AD207">
        <v>0</v>
      </c>
      <c r="AE207">
        <v>158</v>
      </c>
      <c r="AF207">
        <v>21</v>
      </c>
      <c r="AG207">
        <v>0</v>
      </c>
      <c r="AH207">
        <v>0</v>
      </c>
      <c r="AJ207">
        <v>9</v>
      </c>
      <c r="AK207">
        <v>0</v>
      </c>
      <c r="AL207">
        <v>0.12127236580516898</v>
      </c>
      <c r="AN207">
        <v>77</v>
      </c>
      <c r="AO207" s="3">
        <v>0</v>
      </c>
      <c r="AQ207">
        <v>955</v>
      </c>
      <c r="AR207">
        <f>(Table2[[#This Row],[Tx_Arm_Patinet_Withdrawal_Consent]]+Table2[[#This Row],[Tx_am_lost_fu]]+Table2[[#This Row],[Tx_arm_noncomp]])/Table2[[#This Row],[Tx_arm_randomized_to_tx]]</f>
        <v>8.0628272251308905E-2</v>
      </c>
      <c r="AS207">
        <v>85</v>
      </c>
      <c r="AV207">
        <v>554</v>
      </c>
      <c r="AW207">
        <f>(Table2[[#This Row],[Cr_arm_patient_withdrawal_consent]]+Table2[[#This Row],[Cr_arm_lost_fu]]+Table2[[#This Row],[Cr_am_noncomp]])/Table2[[#This Row],[Cr_am_total_randomized+patients]]</f>
        <v>0.15342960288808663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54</v>
      </c>
      <c r="BI207" t="s">
        <v>63</v>
      </c>
    </row>
    <row r="208" spans="1:61" x14ac:dyDescent="0.2">
      <c r="A208" t="s">
        <v>164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 t="s">
        <v>48</v>
      </c>
      <c r="N208">
        <v>1</v>
      </c>
      <c r="O208">
        <v>11.05</v>
      </c>
      <c r="P208" t="s">
        <v>56</v>
      </c>
      <c r="Q208" t="s">
        <v>56</v>
      </c>
      <c r="R208">
        <v>1</v>
      </c>
      <c r="S208">
        <v>1</v>
      </c>
      <c r="T208" t="s">
        <v>51</v>
      </c>
      <c r="U208" t="s">
        <v>52</v>
      </c>
      <c r="V208" t="s">
        <v>53</v>
      </c>
      <c r="W208">
        <v>154</v>
      </c>
      <c r="X208">
        <v>128</v>
      </c>
      <c r="Y208">
        <v>0.83116883116883122</v>
      </c>
      <c r="Z208">
        <v>7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111</v>
      </c>
      <c r="AH208">
        <v>6</v>
      </c>
      <c r="AJ208">
        <v>4</v>
      </c>
      <c r="AK208">
        <v>0</v>
      </c>
      <c r="AL208">
        <v>8.4415584415584416E-2</v>
      </c>
      <c r="AN208">
        <v>5</v>
      </c>
      <c r="AO208" s="3">
        <v>0</v>
      </c>
      <c r="AQ208">
        <v>92</v>
      </c>
      <c r="AR208">
        <f>(Table2[[#This Row],[Tx_Arm_Patinet_Withdrawal_Consent]]+Table2[[#This Row],[Tx_am_lost_fu]]+Table2[[#This Row],[Tx_arm_noncomp]])/Table2[[#This Row],[Tx_arm_randomized_to_tx]]</f>
        <v>5.434782608695652E-2</v>
      </c>
      <c r="AS208">
        <v>2</v>
      </c>
      <c r="AV208">
        <v>62</v>
      </c>
      <c r="AW208">
        <f>(Table2[[#This Row],[Cr_arm_patient_withdrawal_consent]]+Table2[[#This Row],[Cr_arm_lost_fu]]+Table2[[#This Row],[Cr_am_noncomp]])/Table2[[#This Row],[Cr_am_total_randomized+patients]]</f>
        <v>3.2258064516129031E-2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54</v>
      </c>
      <c r="BI208" t="s">
        <v>54</v>
      </c>
    </row>
    <row r="209" spans="1:61" x14ac:dyDescent="0.2">
      <c r="A209" t="s">
        <v>79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 t="s">
        <v>48</v>
      </c>
      <c r="N209">
        <v>1</v>
      </c>
      <c r="O209" t="s">
        <v>49</v>
      </c>
      <c r="P209" t="s">
        <v>56</v>
      </c>
      <c r="Q209" t="s">
        <v>56</v>
      </c>
      <c r="R209">
        <v>1</v>
      </c>
      <c r="S209">
        <v>1</v>
      </c>
      <c r="T209" t="s">
        <v>51</v>
      </c>
      <c r="U209" t="s">
        <v>52</v>
      </c>
      <c r="V209" t="s">
        <v>53</v>
      </c>
      <c r="W209">
        <v>656</v>
      </c>
      <c r="X209">
        <v>128</v>
      </c>
      <c r="Y209">
        <v>0.1951219512195122</v>
      </c>
      <c r="Z209">
        <v>106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15</v>
      </c>
      <c r="AJ209">
        <v>7</v>
      </c>
      <c r="AK209">
        <v>0</v>
      </c>
      <c r="AL209">
        <v>0.18445121951219512</v>
      </c>
      <c r="AN209">
        <v>8</v>
      </c>
      <c r="AO209" s="3">
        <v>0</v>
      </c>
      <c r="AQ209">
        <v>395</v>
      </c>
      <c r="AR209">
        <f>(Table2[[#This Row],[Tx_Arm_Patinet_Withdrawal_Consent]]+Table2[[#This Row],[Tx_am_lost_fu]]+Table2[[#This Row],[Tx_arm_noncomp]])/Table2[[#This Row],[Tx_arm_randomized_to_tx]]</f>
        <v>2.0253164556962026E-2</v>
      </c>
      <c r="AS209">
        <v>5</v>
      </c>
      <c r="AV209">
        <v>261</v>
      </c>
      <c r="AW209">
        <f>(Table2[[#This Row],[Cr_arm_patient_withdrawal_consent]]+Table2[[#This Row],[Cr_arm_lost_fu]]+Table2[[#This Row],[Cr_am_noncomp]])/Table2[[#This Row],[Cr_am_total_randomized+patients]]</f>
        <v>1.9157088122605363E-2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54</v>
      </c>
      <c r="BI209" t="s">
        <v>54</v>
      </c>
    </row>
    <row r="210" spans="1:61" x14ac:dyDescent="0.2">
      <c r="A210" t="s">
        <v>176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 t="s">
        <v>48</v>
      </c>
      <c r="N210">
        <v>1</v>
      </c>
      <c r="O210">
        <v>2.969444444444445</v>
      </c>
      <c r="P210" t="s">
        <v>56</v>
      </c>
      <c r="Q210" t="s">
        <v>50</v>
      </c>
      <c r="R210">
        <v>1</v>
      </c>
      <c r="S210">
        <v>1</v>
      </c>
      <c r="T210" t="s">
        <v>51</v>
      </c>
      <c r="U210" t="s">
        <v>52</v>
      </c>
      <c r="V210" t="s">
        <v>53</v>
      </c>
      <c r="W210">
        <v>714</v>
      </c>
      <c r="X210">
        <v>707</v>
      </c>
      <c r="Y210">
        <v>0.99019607843137258</v>
      </c>
      <c r="Z210" s="6">
        <v>0</v>
      </c>
      <c r="AA210" s="6">
        <v>11</v>
      </c>
      <c r="AB210" s="6">
        <v>480</v>
      </c>
      <c r="AC210" s="6">
        <v>20</v>
      </c>
      <c r="AD210" s="6">
        <v>0</v>
      </c>
      <c r="AE210" s="6">
        <v>89</v>
      </c>
      <c r="AF210" s="6">
        <v>56</v>
      </c>
      <c r="AG210" s="6">
        <v>22</v>
      </c>
      <c r="AH210" s="6">
        <v>0</v>
      </c>
      <c r="AI210" s="6"/>
      <c r="AJ210" s="6">
        <v>29</v>
      </c>
      <c r="AK210" s="6">
        <v>0</v>
      </c>
      <c r="AL210">
        <v>7.8431372549019607E-2</v>
      </c>
      <c r="AN210">
        <v>0</v>
      </c>
      <c r="AO210" s="3">
        <v>0</v>
      </c>
      <c r="AQ210">
        <v>357</v>
      </c>
      <c r="AR210">
        <f>(Table2[[#This Row],[Tx_Arm_Patinet_Withdrawal_Consent]]+Table2[[#This Row],[Tx_am_lost_fu]]+Table2[[#This Row],[Tx_arm_noncomp]])/Table2[[#This Row],[Tx_arm_randomized_to_tx]]</f>
        <v>0</v>
      </c>
      <c r="AS210">
        <v>0</v>
      </c>
      <c r="AV210">
        <v>357</v>
      </c>
      <c r="AW210">
        <f>(Table2[[#This Row],[Cr_arm_patient_withdrawal_consent]]+Table2[[#This Row],[Cr_arm_lost_fu]]+Table2[[#This Row],[Cr_am_noncomp]])/Table2[[#This Row],[Cr_am_total_randomized+patients]]</f>
        <v>0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57</v>
      </c>
      <c r="BI210" t="s">
        <v>54</v>
      </c>
    </row>
    <row r="211" spans="1:61" x14ac:dyDescent="0.2">
      <c r="A211" t="s">
        <v>221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48</v>
      </c>
      <c r="N211">
        <v>1</v>
      </c>
      <c r="O211">
        <v>0.15277777777777779</v>
      </c>
      <c r="P211" t="s">
        <v>50</v>
      </c>
      <c r="Q211" t="s">
        <v>50</v>
      </c>
      <c r="R211">
        <v>1</v>
      </c>
      <c r="S211">
        <v>1</v>
      </c>
      <c r="T211" t="s">
        <v>51</v>
      </c>
      <c r="U211" t="s">
        <v>52</v>
      </c>
      <c r="V211" t="s">
        <v>53</v>
      </c>
      <c r="W211">
        <v>509</v>
      </c>
      <c r="X211">
        <v>421</v>
      </c>
      <c r="Y211">
        <v>0.82711198428290766</v>
      </c>
      <c r="Z211">
        <v>29</v>
      </c>
      <c r="AA211">
        <v>35</v>
      </c>
      <c r="AB211">
        <v>319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J211">
        <v>35</v>
      </c>
      <c r="AK211">
        <v>0</v>
      </c>
      <c r="AL211">
        <v>6.2868369351669937E-2</v>
      </c>
      <c r="AN211">
        <v>21</v>
      </c>
      <c r="AO211" s="3">
        <v>0</v>
      </c>
      <c r="AQ211">
        <v>337</v>
      </c>
      <c r="AR211">
        <f>(Table2[[#This Row],[Tx_Arm_Patinet_Withdrawal_Consent]]+Table2[[#This Row],[Tx_am_lost_fu]]+Table2[[#This Row],[Tx_arm_noncomp]])/Table2[[#This Row],[Tx_arm_randomized_to_tx]]</f>
        <v>6.2314540059347182E-2</v>
      </c>
      <c r="AS211">
        <v>8</v>
      </c>
      <c r="AV211">
        <v>172</v>
      </c>
      <c r="AW211">
        <f>(Table2[[#This Row],[Cr_arm_patient_withdrawal_consent]]+Table2[[#This Row],[Cr_arm_lost_fu]]+Table2[[#This Row],[Cr_am_noncomp]])/Table2[[#This Row],[Cr_am_total_randomized+patients]]</f>
        <v>4.6511627906976744E-2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 t="s">
        <v>54</v>
      </c>
      <c r="BI211" t="s">
        <v>54</v>
      </c>
    </row>
    <row r="212" spans="1:61" x14ac:dyDescent="0.2">
      <c r="A212" t="s">
        <v>269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 t="s">
        <v>48</v>
      </c>
      <c r="N212">
        <v>1</v>
      </c>
      <c r="O212">
        <v>0.2305555555555556</v>
      </c>
      <c r="P212" t="s">
        <v>50</v>
      </c>
      <c r="Q212" t="s">
        <v>56</v>
      </c>
      <c r="R212">
        <v>2</v>
      </c>
      <c r="S212">
        <v>0</v>
      </c>
      <c r="T212" t="s">
        <v>51</v>
      </c>
      <c r="U212" t="s">
        <v>52</v>
      </c>
      <c r="V212" t="s">
        <v>53</v>
      </c>
      <c r="W212">
        <v>305</v>
      </c>
      <c r="X212">
        <v>305</v>
      </c>
      <c r="Y212">
        <v>1</v>
      </c>
      <c r="Z212">
        <v>13</v>
      </c>
      <c r="AA212">
        <v>22</v>
      </c>
      <c r="AB212">
        <v>0</v>
      </c>
      <c r="AC212">
        <v>0</v>
      </c>
      <c r="AD212">
        <v>0</v>
      </c>
      <c r="AE212">
        <v>0</v>
      </c>
      <c r="AF212">
        <v>63</v>
      </c>
      <c r="AG212">
        <v>204</v>
      </c>
      <c r="AH212">
        <v>3</v>
      </c>
      <c r="AJ212">
        <v>0</v>
      </c>
      <c r="AK212">
        <v>0</v>
      </c>
      <c r="AL212">
        <v>0.25901639344262295</v>
      </c>
      <c r="AN212">
        <v>7</v>
      </c>
      <c r="AO212" s="3">
        <v>0</v>
      </c>
      <c r="AQ212">
        <v>154</v>
      </c>
      <c r="AR212">
        <f>(Table2[[#This Row],[Tx_Arm_Patinet_Withdrawal_Consent]]+Table2[[#This Row],[Tx_am_lost_fu]]+Table2[[#This Row],[Tx_arm_noncomp]])/Table2[[#This Row],[Tx_arm_randomized_to_tx]]</f>
        <v>4.5454545454545456E-2</v>
      </c>
      <c r="AS212">
        <v>6</v>
      </c>
      <c r="AV212">
        <v>151</v>
      </c>
      <c r="AW212">
        <f>(Table2[[#This Row],[Cr_arm_patient_withdrawal_consent]]+Table2[[#This Row],[Cr_arm_lost_fu]]+Table2[[#This Row],[Cr_am_noncomp]])/Table2[[#This Row],[Cr_am_total_randomized+patients]]</f>
        <v>3.9735099337748346E-2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54</v>
      </c>
      <c r="BI212" t="s">
        <v>63</v>
      </c>
    </row>
    <row r="213" spans="1:61" x14ac:dyDescent="0.2">
      <c r="A213" t="s">
        <v>171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48</v>
      </c>
      <c r="N213">
        <v>1</v>
      </c>
      <c r="O213">
        <v>11.15</v>
      </c>
      <c r="P213" t="s">
        <v>56</v>
      </c>
      <c r="Q213" t="s">
        <v>56</v>
      </c>
      <c r="R213">
        <v>1</v>
      </c>
      <c r="S213">
        <v>1</v>
      </c>
      <c r="T213" t="s">
        <v>51</v>
      </c>
      <c r="U213" t="s">
        <v>52</v>
      </c>
      <c r="V213" t="s">
        <v>53</v>
      </c>
      <c r="W213">
        <v>713</v>
      </c>
      <c r="X213">
        <v>467</v>
      </c>
      <c r="Y213">
        <v>0.65497896213183726</v>
      </c>
      <c r="Z213">
        <v>46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409</v>
      </c>
      <c r="AH213">
        <v>11</v>
      </c>
      <c r="AJ213">
        <v>1</v>
      </c>
      <c r="AK213">
        <v>0</v>
      </c>
      <c r="AL213">
        <v>7.9943899018232817E-2</v>
      </c>
      <c r="AN213">
        <v>30</v>
      </c>
      <c r="AO213" s="3">
        <v>0</v>
      </c>
      <c r="AQ213">
        <v>476</v>
      </c>
      <c r="AR213">
        <f>(Table2[[#This Row],[Tx_Arm_Patinet_Withdrawal_Consent]]+Table2[[#This Row],[Tx_am_lost_fu]]+Table2[[#This Row],[Tx_arm_noncomp]])/Table2[[#This Row],[Tx_arm_randomized_to_tx]]</f>
        <v>6.3025210084033612E-2</v>
      </c>
      <c r="AS213">
        <v>16</v>
      </c>
      <c r="AV213">
        <v>237</v>
      </c>
      <c r="AW213">
        <f>(Table2[[#This Row],[Cr_arm_patient_withdrawal_consent]]+Table2[[#This Row],[Cr_arm_lost_fu]]+Table2[[#This Row],[Cr_am_noncomp]])/Table2[[#This Row],[Cr_am_total_randomized+patients]]</f>
        <v>6.7510548523206745E-2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 t="s">
        <v>54</v>
      </c>
      <c r="BI213" t="s">
        <v>54</v>
      </c>
    </row>
    <row r="214" spans="1:61" x14ac:dyDescent="0.2">
      <c r="A214" t="s">
        <v>253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48</v>
      </c>
      <c r="N214">
        <v>1</v>
      </c>
      <c r="O214" t="s">
        <v>49</v>
      </c>
      <c r="P214" t="s">
        <v>50</v>
      </c>
      <c r="Q214" t="s">
        <v>50</v>
      </c>
      <c r="R214">
        <v>2</v>
      </c>
      <c r="S214">
        <v>1</v>
      </c>
      <c r="T214" t="s">
        <v>51</v>
      </c>
      <c r="U214" t="s">
        <v>52</v>
      </c>
      <c r="V214" t="s">
        <v>53</v>
      </c>
      <c r="W214">
        <v>554</v>
      </c>
      <c r="X214">
        <v>189</v>
      </c>
      <c r="Y214">
        <v>0.34115523465703973</v>
      </c>
      <c r="Z214">
        <v>20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</v>
      </c>
      <c r="AG214">
        <v>160</v>
      </c>
      <c r="AH214">
        <v>6</v>
      </c>
      <c r="AJ214">
        <v>0</v>
      </c>
      <c r="AK214">
        <v>0</v>
      </c>
      <c r="AL214">
        <v>5.2346570397111915E-2</v>
      </c>
      <c r="AN214">
        <v>9</v>
      </c>
      <c r="AO214" s="3">
        <v>0</v>
      </c>
      <c r="AQ214">
        <v>277</v>
      </c>
      <c r="AR214">
        <f>(Table2[[#This Row],[Tx_Arm_Patinet_Withdrawal_Consent]]+Table2[[#This Row],[Tx_am_lost_fu]]+Table2[[#This Row],[Tx_arm_noncomp]])/Table2[[#This Row],[Tx_arm_randomized_to_tx]]</f>
        <v>3.2490974729241874E-2</v>
      </c>
      <c r="AS214">
        <v>11</v>
      </c>
      <c r="AV214">
        <v>277</v>
      </c>
      <c r="AW214">
        <f>(Table2[[#This Row],[Cr_arm_patient_withdrawal_consent]]+Table2[[#This Row],[Cr_arm_lost_fu]]+Table2[[#This Row],[Cr_am_noncomp]])/Table2[[#This Row],[Cr_am_total_randomized+patients]]</f>
        <v>3.9711191335740074E-2</v>
      </c>
      <c r="AX214">
        <v>0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54</v>
      </c>
      <c r="BI214" t="s">
        <v>54</v>
      </c>
    </row>
    <row r="215" spans="1:61" x14ac:dyDescent="0.2">
      <c r="A215" t="s">
        <v>149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 t="s">
        <v>48</v>
      </c>
      <c r="N215">
        <v>1</v>
      </c>
      <c r="O215">
        <v>5.6722222222222216</v>
      </c>
      <c r="P215" t="s">
        <v>50</v>
      </c>
      <c r="Q215" t="s">
        <v>50</v>
      </c>
      <c r="R215">
        <v>2</v>
      </c>
      <c r="S215">
        <v>0</v>
      </c>
      <c r="T215" t="s">
        <v>51</v>
      </c>
      <c r="U215" t="s">
        <v>52</v>
      </c>
      <c r="V215" t="s">
        <v>53</v>
      </c>
      <c r="W215">
        <v>1182</v>
      </c>
      <c r="X215">
        <v>888</v>
      </c>
      <c r="Y215">
        <v>0.75126903553299496</v>
      </c>
      <c r="Z215">
        <v>74</v>
      </c>
      <c r="AA215">
        <v>2</v>
      </c>
      <c r="AB215">
        <v>1</v>
      </c>
      <c r="AC215">
        <v>0</v>
      </c>
      <c r="AD215">
        <v>0</v>
      </c>
      <c r="AE215">
        <v>0</v>
      </c>
      <c r="AF215">
        <v>8</v>
      </c>
      <c r="AG215">
        <v>772</v>
      </c>
      <c r="AH215">
        <v>29</v>
      </c>
      <c r="AJ215">
        <v>2</v>
      </c>
      <c r="AK215">
        <v>0</v>
      </c>
      <c r="AL215">
        <v>9.3908629441624369E-2</v>
      </c>
      <c r="AN215">
        <v>51</v>
      </c>
      <c r="AO215" s="3">
        <v>0</v>
      </c>
      <c r="AP215">
        <v>8</v>
      </c>
      <c r="AQ215">
        <v>787</v>
      </c>
      <c r="AR215">
        <f>(Table2[[#This Row],[Tx_Arm_Patinet_Withdrawal_Consent]]+Table2[[#This Row],[Tx_am_lost_fu]]+Table2[[#This Row],[Tx_arm_noncomp]])/Table2[[#This Row],[Tx_arm_randomized_to_tx]]</f>
        <v>7.4968233799237616E-2</v>
      </c>
      <c r="AS215">
        <v>23</v>
      </c>
      <c r="AT215">
        <v>10</v>
      </c>
      <c r="AV215">
        <v>395</v>
      </c>
      <c r="AW215">
        <f>(Table2[[#This Row],[Cr_arm_patient_withdrawal_consent]]+Table2[[#This Row],[Cr_arm_lost_fu]]+Table2[[#This Row],[Cr_am_noncomp]])/Table2[[#This Row],[Cr_am_total_randomized+patients]]</f>
        <v>8.3544303797468356E-2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54</v>
      </c>
      <c r="BI215" t="s">
        <v>54</v>
      </c>
    </row>
    <row r="216" spans="1:61" x14ac:dyDescent="0.2">
      <c r="A216" t="s">
        <v>87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 t="s">
        <v>48</v>
      </c>
      <c r="N216">
        <v>1</v>
      </c>
      <c r="O216">
        <v>0.51944444444444449</v>
      </c>
      <c r="P216" t="s">
        <v>56</v>
      </c>
      <c r="Q216" t="s">
        <v>56</v>
      </c>
      <c r="R216">
        <v>2</v>
      </c>
      <c r="S216">
        <v>0</v>
      </c>
      <c r="T216" t="s">
        <v>51</v>
      </c>
      <c r="U216" t="s">
        <v>52</v>
      </c>
      <c r="V216" t="s">
        <v>53</v>
      </c>
      <c r="W216">
        <v>1428</v>
      </c>
      <c r="X216">
        <v>1428</v>
      </c>
      <c r="Y216">
        <v>1</v>
      </c>
      <c r="Z216">
        <v>183</v>
      </c>
      <c r="AA216">
        <v>73</v>
      </c>
      <c r="AB216">
        <v>811</v>
      </c>
      <c r="AC216">
        <v>55</v>
      </c>
      <c r="AD216">
        <v>0</v>
      </c>
      <c r="AE216">
        <v>33</v>
      </c>
      <c r="AF216">
        <v>4</v>
      </c>
      <c r="AG216">
        <v>164</v>
      </c>
      <c r="AH216">
        <v>4</v>
      </c>
      <c r="AI216">
        <v>7</v>
      </c>
      <c r="AJ216">
        <v>94</v>
      </c>
      <c r="AK216">
        <v>0</v>
      </c>
      <c r="AL216">
        <v>0.13375350140056022</v>
      </c>
      <c r="AN216">
        <v>183</v>
      </c>
      <c r="AO216" s="3">
        <v>0</v>
      </c>
      <c r="AQ216">
        <v>1428</v>
      </c>
      <c r="AR216">
        <f>(Table2[[#This Row],[Tx_Arm_Patinet_Withdrawal_Consent]]+Table2[[#This Row],[Tx_am_lost_fu]]+Table2[[#This Row],[Tx_arm_noncomp]])/Table2[[#This Row],[Tx_arm_randomized_to_tx]]</f>
        <v>0.12815126050420167</v>
      </c>
      <c r="AS216" t="s">
        <v>373</v>
      </c>
      <c r="AT216" t="s">
        <v>373</v>
      </c>
      <c r="AU216" t="s">
        <v>373</v>
      </c>
      <c r="AV216" t="s">
        <v>373</v>
      </c>
      <c r="AW216" t="e">
        <f>(Table2[[#This Row],[Cr_arm_patient_withdrawal_consent]]+Table2[[#This Row],[Cr_arm_lost_fu]]+Table2[[#This Row],[Cr_am_noncomp]])/Table2[[#This Row],[Cr_am_total_randomized+patients]]</f>
        <v>#VALUE!</v>
      </c>
      <c r="AX216">
        <v>0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54</v>
      </c>
      <c r="BI216" t="s">
        <v>63</v>
      </c>
    </row>
    <row r="217" spans="1:61" x14ac:dyDescent="0.2">
      <c r="A217" t="s">
        <v>346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48</v>
      </c>
      <c r="N217">
        <v>1</v>
      </c>
      <c r="O217">
        <v>11.75</v>
      </c>
      <c r="P217" t="s">
        <v>56</v>
      </c>
      <c r="Q217" t="s">
        <v>56</v>
      </c>
      <c r="R217">
        <v>1</v>
      </c>
      <c r="S217">
        <v>1</v>
      </c>
      <c r="T217" t="s">
        <v>65</v>
      </c>
      <c r="U217" t="s">
        <v>52</v>
      </c>
      <c r="V217" t="s">
        <v>53</v>
      </c>
      <c r="W217">
        <v>87</v>
      </c>
      <c r="X217">
        <v>2</v>
      </c>
      <c r="Y217">
        <v>2.2988505747126436E-2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J217">
        <v>0</v>
      </c>
      <c r="AK217">
        <v>0</v>
      </c>
      <c r="AL217">
        <v>2.2988505747126436E-2</v>
      </c>
      <c r="AN217">
        <v>1</v>
      </c>
      <c r="AO217" s="3">
        <v>0</v>
      </c>
      <c r="AQ217">
        <v>50</v>
      </c>
      <c r="AR217">
        <f>(Table2[[#This Row],[Tx_Arm_Patinet_Withdrawal_Consent]]+Table2[[#This Row],[Tx_am_lost_fu]]+Table2[[#This Row],[Tx_arm_noncomp]])/Table2[[#This Row],[Tx_arm_randomized_to_tx]]</f>
        <v>0.02</v>
      </c>
      <c r="AS217">
        <v>1</v>
      </c>
      <c r="AV217">
        <v>37</v>
      </c>
      <c r="AW217">
        <f>(Table2[[#This Row],[Cr_arm_patient_withdrawal_consent]]+Table2[[#This Row],[Cr_arm_lost_fu]]+Table2[[#This Row],[Cr_am_noncomp]])/Table2[[#This Row],[Cr_am_total_randomized+patients]]</f>
        <v>2.7027027027027029E-2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 t="s">
        <v>54</v>
      </c>
      <c r="BI217" t="s">
        <v>54</v>
      </c>
    </row>
    <row r="218" spans="1:61" x14ac:dyDescent="0.2">
      <c r="A218" t="s">
        <v>259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 t="s">
        <v>60</v>
      </c>
      <c r="N218">
        <v>0</v>
      </c>
      <c r="O218" t="s">
        <v>49</v>
      </c>
      <c r="P218" t="s">
        <v>56</v>
      </c>
      <c r="Q218" t="s">
        <v>56</v>
      </c>
      <c r="R218">
        <v>2</v>
      </c>
      <c r="S218">
        <v>0</v>
      </c>
      <c r="T218" t="s">
        <v>51</v>
      </c>
      <c r="U218" t="s">
        <v>52</v>
      </c>
      <c r="V218" t="s">
        <v>53</v>
      </c>
      <c r="W218">
        <v>99</v>
      </c>
      <c r="X218">
        <v>96</v>
      </c>
      <c r="Y218">
        <v>0.96969696969696972</v>
      </c>
      <c r="Z218">
        <v>3</v>
      </c>
      <c r="AA218">
        <v>48</v>
      </c>
      <c r="AB218">
        <v>26</v>
      </c>
      <c r="AC218">
        <v>1</v>
      </c>
      <c r="AD218">
        <v>0</v>
      </c>
      <c r="AE218">
        <v>2</v>
      </c>
      <c r="AF218">
        <v>7</v>
      </c>
      <c r="AG218">
        <v>6</v>
      </c>
      <c r="AH218">
        <v>0</v>
      </c>
      <c r="AJ218">
        <v>1</v>
      </c>
      <c r="AK218">
        <v>2</v>
      </c>
      <c r="AL218">
        <v>0.10101010101010101</v>
      </c>
      <c r="AN218">
        <v>3</v>
      </c>
      <c r="AO218" s="3">
        <v>0</v>
      </c>
      <c r="AQ218">
        <v>90</v>
      </c>
      <c r="AR218">
        <f>(Table2[[#This Row],[Tx_Arm_Patinet_Withdrawal_Consent]]+Table2[[#This Row],[Tx_am_lost_fu]]+Table2[[#This Row],[Tx_arm_noncomp]])/Table2[[#This Row],[Tx_arm_randomized_to_tx]]</f>
        <v>3.3333333333333333E-2</v>
      </c>
      <c r="AS218">
        <v>0</v>
      </c>
      <c r="AV218">
        <v>9</v>
      </c>
      <c r="AW218">
        <f>(Table2[[#This Row],[Cr_arm_patient_withdrawal_consent]]+Table2[[#This Row],[Cr_arm_lost_fu]]+Table2[[#This Row],[Cr_am_noncomp]])/Table2[[#This Row],[Cr_am_total_randomized+patients]]</f>
        <v>0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57</v>
      </c>
      <c r="BI218" t="s">
        <v>54</v>
      </c>
    </row>
    <row r="219" spans="1:61" x14ac:dyDescent="0.2">
      <c r="A219" s="5" t="s">
        <v>298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48</v>
      </c>
      <c r="N219">
        <v>1</v>
      </c>
      <c r="O219">
        <v>0.23333333333333331</v>
      </c>
      <c r="P219" t="s">
        <v>50</v>
      </c>
      <c r="Q219" t="s">
        <v>50</v>
      </c>
      <c r="R219">
        <v>2</v>
      </c>
      <c r="S219">
        <v>0</v>
      </c>
      <c r="T219" t="s">
        <v>51</v>
      </c>
      <c r="U219" t="s">
        <v>52</v>
      </c>
      <c r="V219" t="s">
        <v>53</v>
      </c>
      <c r="W219">
        <v>806</v>
      </c>
      <c r="X219">
        <v>734</v>
      </c>
      <c r="Y219">
        <v>0.91066997518610426</v>
      </c>
      <c r="Z219">
        <v>27</v>
      </c>
      <c r="AA219">
        <v>121</v>
      </c>
      <c r="AB219">
        <v>417</v>
      </c>
      <c r="AC219">
        <v>0</v>
      </c>
      <c r="AD219">
        <v>0</v>
      </c>
      <c r="AE219">
        <v>112</v>
      </c>
      <c r="AF219">
        <v>0</v>
      </c>
      <c r="AG219">
        <v>0</v>
      </c>
      <c r="AH219">
        <v>2</v>
      </c>
      <c r="AJ219">
        <v>55</v>
      </c>
      <c r="AK219">
        <v>0</v>
      </c>
      <c r="AL219">
        <v>3.5980148883374689E-2</v>
      </c>
      <c r="AM219" t="s">
        <v>384</v>
      </c>
      <c r="AN219">
        <v>12</v>
      </c>
      <c r="AQ219">
        <v>401</v>
      </c>
      <c r="AR219" s="8">
        <f>(Table2[[#This Row],[Tx_Arm_Patinet_Withdrawal_Consent]]+Table2[[#This Row],[Tx_am_lost_fu]]+Table2[[#This Row],[Tx_arm_noncomp]])/Table2[[#This Row],[Tx_arm_randomized_to_tx]]</f>
        <v>2.9925187032418952E-2</v>
      </c>
      <c r="AS219">
        <v>15</v>
      </c>
      <c r="AV219">
        <v>405</v>
      </c>
      <c r="AW219" s="8">
        <f>(Table2[[#This Row],[Cr_arm_patient_withdrawal_consent]]+Table2[[#This Row],[Cr_arm_lost_fu]]+Table2[[#This Row],[Cr_am_noncomp]])/Table2[[#This Row],[Cr_am_total_randomized+patients]]</f>
        <v>3.7037037037037035E-2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54</v>
      </c>
      <c r="BI219" t="s">
        <v>54</v>
      </c>
    </row>
    <row r="220" spans="1:61" x14ac:dyDescent="0.2">
      <c r="A220" t="s">
        <v>150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 t="s">
        <v>48</v>
      </c>
      <c r="N220">
        <v>1</v>
      </c>
      <c r="O220" t="s">
        <v>49</v>
      </c>
      <c r="P220" t="s">
        <v>50</v>
      </c>
      <c r="Q220" t="s">
        <v>56</v>
      </c>
      <c r="R220">
        <v>2</v>
      </c>
      <c r="S220">
        <v>0</v>
      </c>
      <c r="T220" t="s">
        <v>51</v>
      </c>
      <c r="U220" t="s">
        <v>52</v>
      </c>
      <c r="V220" t="s">
        <v>53</v>
      </c>
      <c r="W220">
        <v>367</v>
      </c>
      <c r="X220">
        <v>278</v>
      </c>
      <c r="Y220">
        <v>0.75749318801089915</v>
      </c>
      <c r="Z220">
        <v>34</v>
      </c>
      <c r="AA220">
        <v>19</v>
      </c>
      <c r="AB220">
        <v>209</v>
      </c>
      <c r="AC220">
        <v>0</v>
      </c>
      <c r="AD220">
        <v>0</v>
      </c>
      <c r="AE220">
        <v>0</v>
      </c>
      <c r="AF220">
        <v>0</v>
      </c>
      <c r="AG220">
        <v>3</v>
      </c>
      <c r="AH220">
        <v>0</v>
      </c>
      <c r="AJ220">
        <v>13</v>
      </c>
      <c r="AK220">
        <v>0</v>
      </c>
      <c r="AL220">
        <v>9.264305177111716E-2</v>
      </c>
      <c r="AN220">
        <v>3</v>
      </c>
      <c r="AO220" s="3">
        <v>0</v>
      </c>
      <c r="AQ220">
        <v>245</v>
      </c>
      <c r="AR220">
        <f>(Table2[[#This Row],[Tx_Arm_Patinet_Withdrawal_Consent]]+Table2[[#This Row],[Tx_am_lost_fu]]+Table2[[#This Row],[Tx_arm_noncomp]])/Table2[[#This Row],[Tx_arm_randomized_to_tx]]</f>
        <v>1.2244897959183673E-2</v>
      </c>
      <c r="AS220">
        <v>2</v>
      </c>
      <c r="AV220">
        <v>122</v>
      </c>
      <c r="AW220">
        <f>(Table2[[#This Row],[Cr_arm_patient_withdrawal_consent]]+Table2[[#This Row],[Cr_arm_lost_fu]]+Table2[[#This Row],[Cr_am_noncomp]])/Table2[[#This Row],[Cr_am_total_randomized+patients]]</f>
        <v>1.6393442622950821E-2</v>
      </c>
      <c r="AX220">
        <v>0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54</v>
      </c>
      <c r="BI220" t="s">
        <v>54</v>
      </c>
    </row>
    <row r="221" spans="1:61" x14ac:dyDescent="0.2">
      <c r="A221" t="s">
        <v>329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48</v>
      </c>
      <c r="N221">
        <v>1</v>
      </c>
      <c r="O221">
        <v>5.4722222222222223</v>
      </c>
      <c r="P221" t="s">
        <v>61</v>
      </c>
      <c r="Q221" t="s">
        <v>50</v>
      </c>
      <c r="R221">
        <v>2</v>
      </c>
      <c r="S221">
        <v>0</v>
      </c>
      <c r="T221" t="s">
        <v>51</v>
      </c>
      <c r="U221" t="s">
        <v>52</v>
      </c>
      <c r="V221" t="s">
        <v>53</v>
      </c>
      <c r="W221">
        <v>427</v>
      </c>
      <c r="X221">
        <v>409</v>
      </c>
      <c r="Y221">
        <v>0.95784543325526927</v>
      </c>
      <c r="Z221">
        <v>33</v>
      </c>
      <c r="AA221">
        <v>73</v>
      </c>
      <c r="AB221">
        <v>208</v>
      </c>
      <c r="AC221">
        <v>21</v>
      </c>
      <c r="AD221">
        <v>0</v>
      </c>
      <c r="AE221">
        <v>0</v>
      </c>
      <c r="AF221">
        <v>14</v>
      </c>
      <c r="AG221">
        <v>26</v>
      </c>
      <c r="AH221">
        <v>0</v>
      </c>
      <c r="AJ221">
        <v>34</v>
      </c>
      <c r="AK221">
        <v>0</v>
      </c>
      <c r="AL221">
        <v>0.11007025761124122</v>
      </c>
      <c r="AN221">
        <v>6</v>
      </c>
      <c r="AO221" s="3">
        <v>0</v>
      </c>
      <c r="AQ221">
        <v>136</v>
      </c>
      <c r="AR221">
        <f>(Table2[[#This Row],[Tx_Arm_Patinet_Withdrawal_Consent]]+Table2[[#This Row],[Tx_am_lost_fu]]+Table2[[#This Row],[Tx_arm_noncomp]])/Table2[[#This Row],[Tx_arm_randomized_to_tx]]</f>
        <v>4.4117647058823532E-2</v>
      </c>
      <c r="AS221">
        <v>5</v>
      </c>
      <c r="AT221">
        <v>0</v>
      </c>
      <c r="AU221">
        <v>0</v>
      </c>
      <c r="AV221">
        <v>66</v>
      </c>
      <c r="AW221">
        <f>(Table2[[#This Row],[Cr_arm_patient_withdrawal_consent]]+Table2[[#This Row],[Cr_arm_lost_fu]]+Table2[[#This Row],[Cr_am_noncomp]])/Table2[[#This Row],[Cr_am_total_randomized+patients]]</f>
        <v>7.575757575757576E-2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54</v>
      </c>
      <c r="BI221" t="s">
        <v>54</v>
      </c>
    </row>
    <row r="222" spans="1:61" x14ac:dyDescent="0.2">
      <c r="A222" t="s">
        <v>280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48</v>
      </c>
      <c r="N222">
        <v>1</v>
      </c>
      <c r="O222">
        <v>4.6194444444444436</v>
      </c>
      <c r="P222" t="s">
        <v>56</v>
      </c>
      <c r="Q222" t="s">
        <v>50</v>
      </c>
      <c r="R222">
        <v>2</v>
      </c>
      <c r="S222">
        <v>0</v>
      </c>
      <c r="T222" t="s">
        <v>51</v>
      </c>
      <c r="U222" t="s">
        <v>52</v>
      </c>
      <c r="V222" t="s">
        <v>53</v>
      </c>
      <c r="W222">
        <v>529</v>
      </c>
      <c r="X222">
        <v>524</v>
      </c>
      <c r="Y222">
        <v>0.99054820415879019</v>
      </c>
      <c r="Z222">
        <v>21</v>
      </c>
      <c r="AA222">
        <v>38</v>
      </c>
      <c r="AB222">
        <v>412</v>
      </c>
      <c r="AC222">
        <v>0</v>
      </c>
      <c r="AD222">
        <v>0</v>
      </c>
      <c r="AE222">
        <v>1</v>
      </c>
      <c r="AF222">
        <v>0</v>
      </c>
      <c r="AG222">
        <v>2</v>
      </c>
      <c r="AH222">
        <v>1</v>
      </c>
      <c r="AJ222">
        <v>49</v>
      </c>
      <c r="AK222">
        <v>0</v>
      </c>
      <c r="AL222">
        <v>4.1587901701323253E-2</v>
      </c>
      <c r="AN222">
        <v>12</v>
      </c>
      <c r="AO222" s="3">
        <v>0</v>
      </c>
      <c r="AQ222">
        <v>157</v>
      </c>
      <c r="AR222">
        <f>(Table2[[#This Row],[Tx_Arm_Patinet_Withdrawal_Consent]]+Table2[[#This Row],[Tx_am_lost_fu]]+Table2[[#This Row],[Tx_arm_noncomp]])/Table2[[#This Row],[Tx_arm_randomized_to_tx]]</f>
        <v>7.6433121019108277E-2</v>
      </c>
      <c r="AS222">
        <v>16</v>
      </c>
      <c r="AV222">
        <v>369</v>
      </c>
      <c r="AW222">
        <f>(Table2[[#This Row],[Cr_arm_patient_withdrawal_consent]]+Table2[[#This Row],[Cr_arm_lost_fu]]+Table2[[#This Row],[Cr_am_noncomp]])/Table2[[#This Row],[Cr_am_total_randomized+patients]]</f>
        <v>4.3360433604336043E-2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 t="s">
        <v>54</v>
      </c>
      <c r="BI222" t="s">
        <v>54</v>
      </c>
    </row>
    <row r="223" spans="1:61" x14ac:dyDescent="0.2">
      <c r="A223" t="s">
        <v>163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 t="s">
        <v>48</v>
      </c>
      <c r="N223">
        <v>1</v>
      </c>
      <c r="O223">
        <v>0.43888888888888888</v>
      </c>
      <c r="P223" t="s">
        <v>50</v>
      </c>
      <c r="Q223" t="s">
        <v>50</v>
      </c>
      <c r="R223">
        <v>2</v>
      </c>
      <c r="S223">
        <v>0</v>
      </c>
      <c r="T223" t="s">
        <v>51</v>
      </c>
      <c r="U223" t="s">
        <v>52</v>
      </c>
      <c r="V223" t="s">
        <v>53</v>
      </c>
      <c r="W223">
        <v>389</v>
      </c>
      <c r="X223">
        <v>88</v>
      </c>
      <c r="Y223">
        <v>0.2262210796915167</v>
      </c>
      <c r="Z223">
        <v>33</v>
      </c>
      <c r="AA223">
        <v>33</v>
      </c>
      <c r="AB223">
        <v>16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0</v>
      </c>
      <c r="AJ223">
        <v>1</v>
      </c>
      <c r="AK223">
        <v>0</v>
      </c>
      <c r="AL223">
        <v>8.4832904884318772E-2</v>
      </c>
      <c r="AN223">
        <v>0</v>
      </c>
      <c r="AO223" s="3">
        <v>0</v>
      </c>
      <c r="AQ223">
        <v>194</v>
      </c>
      <c r="AR223">
        <f>(Table2[[#This Row],[Tx_Arm_Patinet_Withdrawal_Consent]]+Table2[[#This Row],[Tx_am_lost_fu]]+Table2[[#This Row],[Tx_arm_noncomp]])/Table2[[#This Row],[Tx_arm_randomized_to_tx]]</f>
        <v>0</v>
      </c>
      <c r="AS223">
        <v>0</v>
      </c>
      <c r="AV223">
        <v>195</v>
      </c>
      <c r="AW223">
        <f>(Table2[[#This Row],[Cr_arm_patient_withdrawal_consent]]+Table2[[#This Row],[Cr_arm_lost_fu]]+Table2[[#This Row],[Cr_am_noncomp]])/Table2[[#This Row],[Cr_am_total_randomized+patients]]</f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54</v>
      </c>
      <c r="BI223" t="s">
        <v>63</v>
      </c>
    </row>
    <row r="224" spans="1:61" x14ac:dyDescent="0.2">
      <c r="A224" t="s">
        <v>159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 t="s">
        <v>48</v>
      </c>
      <c r="N224">
        <v>1</v>
      </c>
      <c r="O224">
        <v>0.15277777777777779</v>
      </c>
      <c r="P224" t="s">
        <v>50</v>
      </c>
      <c r="Q224" t="s">
        <v>56</v>
      </c>
      <c r="R224">
        <v>2</v>
      </c>
      <c r="S224">
        <v>0</v>
      </c>
      <c r="T224" t="s">
        <v>51</v>
      </c>
      <c r="U224" t="s">
        <v>52</v>
      </c>
      <c r="V224" t="s">
        <v>53</v>
      </c>
      <c r="W224">
        <v>319</v>
      </c>
      <c r="X224">
        <v>181</v>
      </c>
      <c r="Y224">
        <v>0.56739811912225702</v>
      </c>
      <c r="Z224">
        <v>20</v>
      </c>
      <c r="AA224">
        <v>61</v>
      </c>
      <c r="AB224">
        <v>66</v>
      </c>
      <c r="AC224">
        <v>0</v>
      </c>
      <c r="AD224">
        <v>0</v>
      </c>
      <c r="AE224">
        <v>0</v>
      </c>
      <c r="AF224">
        <v>8</v>
      </c>
      <c r="AG224">
        <v>15</v>
      </c>
      <c r="AH224">
        <v>0</v>
      </c>
      <c r="AJ224">
        <v>11</v>
      </c>
      <c r="AK224">
        <v>0</v>
      </c>
      <c r="AL224">
        <v>8.7774294670846395E-2</v>
      </c>
      <c r="AN224">
        <v>13</v>
      </c>
      <c r="AO224" s="3">
        <v>0</v>
      </c>
      <c r="AQ224">
        <v>160</v>
      </c>
      <c r="AR224">
        <f>(Table2[[#This Row],[Tx_Arm_Patinet_Withdrawal_Consent]]+Table2[[#This Row],[Tx_am_lost_fu]]+Table2[[#This Row],[Tx_arm_noncomp]])/Table2[[#This Row],[Tx_arm_randomized_to_tx]]</f>
        <v>8.1250000000000003E-2</v>
      </c>
      <c r="AS224">
        <v>7</v>
      </c>
      <c r="AV224">
        <v>159</v>
      </c>
      <c r="AW224">
        <f>(Table2[[#This Row],[Cr_arm_patient_withdrawal_consent]]+Table2[[#This Row],[Cr_arm_lost_fu]]+Table2[[#This Row],[Cr_am_noncomp]])/Table2[[#This Row],[Cr_am_total_randomized+patients]]</f>
        <v>4.40251572327044E-2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0</v>
      </c>
      <c r="BG224">
        <v>0</v>
      </c>
      <c r="BH224" t="s">
        <v>54</v>
      </c>
      <c r="BI224" t="s">
        <v>54</v>
      </c>
    </row>
    <row r="225" spans="1:61" x14ac:dyDescent="0.2">
      <c r="A225" s="5" t="s">
        <v>115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 t="s">
        <v>60</v>
      </c>
      <c r="N225">
        <v>0</v>
      </c>
      <c r="O225">
        <v>5</v>
      </c>
      <c r="P225" t="s">
        <v>61</v>
      </c>
      <c r="Q225" t="s">
        <v>56</v>
      </c>
      <c r="R225">
        <v>3</v>
      </c>
      <c r="S225">
        <v>0</v>
      </c>
      <c r="T225" t="s">
        <v>51</v>
      </c>
      <c r="U225" t="s">
        <v>52</v>
      </c>
      <c r="V225" t="s">
        <v>53</v>
      </c>
      <c r="W225">
        <v>140</v>
      </c>
      <c r="X225">
        <v>34</v>
      </c>
      <c r="Y225">
        <v>0.24285714285714285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2</v>
      </c>
      <c r="AF225">
        <v>0</v>
      </c>
      <c r="AG225">
        <v>4</v>
      </c>
      <c r="AH225">
        <v>15</v>
      </c>
      <c r="AJ225">
        <v>11</v>
      </c>
      <c r="AK225">
        <v>0</v>
      </c>
      <c r="AL225">
        <v>0.12142857142857143</v>
      </c>
      <c r="AM225" t="s">
        <v>384</v>
      </c>
      <c r="AN225">
        <v>2</v>
      </c>
      <c r="AQ225">
        <v>140</v>
      </c>
      <c r="AR225" s="8">
        <f>(Table2[[#This Row],[Tx_Arm_Patinet_Withdrawal_Consent]]+Table2[[#This Row],[Tx_am_lost_fu]]+Table2[[#This Row],[Tx_arm_noncomp]])/Table2[[#This Row],[Tx_arm_randomized_to_tx]]</f>
        <v>1.4285714285714285E-2</v>
      </c>
      <c r="AS225" t="s">
        <v>373</v>
      </c>
      <c r="AT225" t="s">
        <v>373</v>
      </c>
      <c r="AU225" t="s">
        <v>373</v>
      </c>
      <c r="AV225" t="s">
        <v>373</v>
      </c>
      <c r="AW225" s="8" t="e">
        <f>(Table2[[#This Row],[Cr_arm_patient_withdrawal_consent]]+Table2[[#This Row],[Cr_arm_lost_fu]]+Table2[[#This Row],[Cr_am_noncomp]])/Table2[[#This Row],[Cr_am_total_randomized+patients]]</f>
        <v>#VALUE!</v>
      </c>
      <c r="AX225">
        <v>0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54</v>
      </c>
      <c r="BI225" t="s">
        <v>54</v>
      </c>
    </row>
    <row r="226" spans="1:61" x14ac:dyDescent="0.2">
      <c r="A226" t="s">
        <v>101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 t="s">
        <v>48</v>
      </c>
      <c r="N226">
        <v>1</v>
      </c>
      <c r="O226" t="s">
        <v>49</v>
      </c>
      <c r="P226" t="s">
        <v>50</v>
      </c>
      <c r="Q226" t="s">
        <v>50</v>
      </c>
      <c r="R226">
        <v>2</v>
      </c>
      <c r="S226">
        <v>0</v>
      </c>
      <c r="T226" t="s">
        <v>51</v>
      </c>
      <c r="U226" t="s">
        <v>52</v>
      </c>
      <c r="V226" t="s">
        <v>53</v>
      </c>
      <c r="W226">
        <v>403</v>
      </c>
      <c r="X226">
        <v>277</v>
      </c>
      <c r="Y226">
        <v>0.68734491315136481</v>
      </c>
      <c r="Z226">
        <v>44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14</v>
      </c>
      <c r="AJ226">
        <v>0</v>
      </c>
      <c r="AK226">
        <v>219</v>
      </c>
      <c r="AL226">
        <v>0.14392059553349876</v>
      </c>
      <c r="AN226">
        <v>20</v>
      </c>
      <c r="AO226" s="3">
        <v>0</v>
      </c>
      <c r="AQ226">
        <v>202</v>
      </c>
      <c r="AR226">
        <f>(Table2[[#This Row],[Tx_Arm_Patinet_Withdrawal_Consent]]+Table2[[#This Row],[Tx_am_lost_fu]]+Table2[[#This Row],[Tx_arm_noncomp]])/Table2[[#This Row],[Tx_arm_randomized_to_tx]]</f>
        <v>9.9009900990099015E-2</v>
      </c>
      <c r="AS226">
        <v>24</v>
      </c>
      <c r="AV226">
        <v>201</v>
      </c>
      <c r="AW226">
        <f>(Table2[[#This Row],[Cr_arm_patient_withdrawal_consent]]+Table2[[#This Row],[Cr_arm_lost_fu]]+Table2[[#This Row],[Cr_am_noncomp]])/Table2[[#This Row],[Cr_am_total_randomized+patients]]</f>
        <v>0.11940298507462686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54</v>
      </c>
      <c r="BI226" t="s">
        <v>54</v>
      </c>
    </row>
    <row r="227" spans="1:61" x14ac:dyDescent="0.2">
      <c r="A227" t="s">
        <v>345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48</v>
      </c>
      <c r="N227">
        <v>1</v>
      </c>
      <c r="O227">
        <v>0.2722222222222222</v>
      </c>
      <c r="P227" t="s">
        <v>56</v>
      </c>
      <c r="Q227" t="s">
        <v>56</v>
      </c>
      <c r="R227">
        <v>2</v>
      </c>
      <c r="S227">
        <v>0</v>
      </c>
      <c r="T227" t="s">
        <v>51</v>
      </c>
      <c r="U227" t="s">
        <v>52</v>
      </c>
      <c r="V227" t="s">
        <v>53</v>
      </c>
      <c r="W227">
        <v>564</v>
      </c>
      <c r="X227">
        <v>482</v>
      </c>
      <c r="Y227">
        <v>0.85460992907801414</v>
      </c>
      <c r="Z227">
        <v>12</v>
      </c>
      <c r="AA227">
        <v>47</v>
      </c>
      <c r="AB227">
        <v>368</v>
      </c>
      <c r="AC227">
        <v>0</v>
      </c>
      <c r="AD227">
        <v>0</v>
      </c>
      <c r="AE227">
        <v>13</v>
      </c>
      <c r="AF227">
        <v>3</v>
      </c>
      <c r="AG227">
        <v>0</v>
      </c>
      <c r="AH227">
        <v>0</v>
      </c>
      <c r="AJ227">
        <v>39</v>
      </c>
      <c r="AK227">
        <v>0</v>
      </c>
      <c r="AL227">
        <v>2.6595744680851064E-2</v>
      </c>
      <c r="AN227">
        <v>16</v>
      </c>
      <c r="AO227" s="3">
        <v>0</v>
      </c>
      <c r="AQ227">
        <v>375</v>
      </c>
      <c r="AR227">
        <f>(Table2[[#This Row],[Tx_Arm_Patinet_Withdrawal_Consent]]+Table2[[#This Row],[Tx_am_lost_fu]]+Table2[[#This Row],[Tx_arm_noncomp]])/Table2[[#This Row],[Tx_arm_randomized_to_tx]]</f>
        <v>4.2666666666666665E-2</v>
      </c>
      <c r="AS227">
        <v>2</v>
      </c>
      <c r="AT227">
        <v>0</v>
      </c>
      <c r="AU227">
        <v>0</v>
      </c>
      <c r="AV227">
        <v>189</v>
      </c>
      <c r="AW227">
        <f>(Table2[[#This Row],[Cr_arm_patient_withdrawal_consent]]+Table2[[#This Row],[Cr_arm_lost_fu]]+Table2[[#This Row],[Cr_am_noncomp]])/Table2[[#This Row],[Cr_am_total_randomized+patients]]</f>
        <v>1.0582010582010581E-2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57</v>
      </c>
      <c r="BI227" t="s">
        <v>63</v>
      </c>
    </row>
    <row r="228" spans="1:61" x14ac:dyDescent="0.2">
      <c r="A228" t="s">
        <v>214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48</v>
      </c>
      <c r="N228">
        <v>1</v>
      </c>
      <c r="O228">
        <v>0.43611111111111112</v>
      </c>
      <c r="P228" t="s">
        <v>50</v>
      </c>
      <c r="Q228" t="s">
        <v>50</v>
      </c>
      <c r="R228">
        <v>2</v>
      </c>
      <c r="S228">
        <v>0</v>
      </c>
      <c r="T228" t="s">
        <v>51</v>
      </c>
      <c r="U228" t="s">
        <v>52</v>
      </c>
      <c r="V228" t="s">
        <v>53</v>
      </c>
      <c r="W228">
        <v>1846</v>
      </c>
      <c r="X228">
        <v>217</v>
      </c>
      <c r="Y228">
        <v>0.11755146262188516</v>
      </c>
      <c r="Z228">
        <v>91</v>
      </c>
      <c r="AA228">
        <v>0</v>
      </c>
      <c r="AB228">
        <v>0</v>
      </c>
      <c r="AC228">
        <v>0</v>
      </c>
      <c r="AD228">
        <v>0</v>
      </c>
      <c r="AE228">
        <v>10</v>
      </c>
      <c r="AF228">
        <v>0</v>
      </c>
      <c r="AG228">
        <v>78</v>
      </c>
      <c r="AH228">
        <v>30</v>
      </c>
      <c r="AJ228">
        <v>8</v>
      </c>
      <c r="AK228">
        <v>0</v>
      </c>
      <c r="AL228">
        <v>6.5547128927410617E-2</v>
      </c>
      <c r="AN228">
        <v>43</v>
      </c>
      <c r="AO228" s="3">
        <v>0</v>
      </c>
      <c r="AQ228">
        <v>928</v>
      </c>
      <c r="AR228">
        <f>(Table2[[#This Row],[Tx_Arm_Patinet_Withdrawal_Consent]]+Table2[[#This Row],[Tx_am_lost_fu]]+Table2[[#This Row],[Tx_arm_noncomp]])/Table2[[#This Row],[Tx_arm_randomized_to_tx]]</f>
        <v>4.6336206896551727E-2</v>
      </c>
      <c r="AS228">
        <v>48</v>
      </c>
      <c r="AV228">
        <v>918</v>
      </c>
      <c r="AW228">
        <f>(Table2[[#This Row],[Cr_arm_patient_withdrawal_consent]]+Table2[[#This Row],[Cr_arm_lost_fu]]+Table2[[#This Row],[Cr_am_noncomp]])/Table2[[#This Row],[Cr_am_total_randomized+patients]]</f>
        <v>5.2287581699346407E-2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54</v>
      </c>
      <c r="BI228" t="s">
        <v>63</v>
      </c>
    </row>
    <row r="229" spans="1:61" x14ac:dyDescent="0.2">
      <c r="A229" t="s">
        <v>187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48</v>
      </c>
      <c r="N229">
        <v>1</v>
      </c>
      <c r="O229">
        <v>8.25</v>
      </c>
      <c r="P229" t="s">
        <v>56</v>
      </c>
      <c r="Q229" t="s">
        <v>50</v>
      </c>
      <c r="R229">
        <v>1</v>
      </c>
      <c r="S229">
        <v>1</v>
      </c>
      <c r="T229" t="s">
        <v>51</v>
      </c>
      <c r="U229" t="s">
        <v>52</v>
      </c>
      <c r="V229" t="s">
        <v>53</v>
      </c>
      <c r="W229">
        <v>866</v>
      </c>
      <c r="X229">
        <v>255</v>
      </c>
      <c r="Y229">
        <v>0.29445727482678985</v>
      </c>
      <c r="Z229">
        <v>63</v>
      </c>
      <c r="AA229">
        <v>108</v>
      </c>
      <c r="AB229">
        <v>66</v>
      </c>
      <c r="AC229">
        <v>0</v>
      </c>
      <c r="AD229">
        <v>0</v>
      </c>
      <c r="AE229">
        <v>9</v>
      </c>
      <c r="AF229">
        <v>1</v>
      </c>
      <c r="AG229">
        <v>4</v>
      </c>
      <c r="AH229">
        <v>0</v>
      </c>
      <c r="AJ229">
        <v>4</v>
      </c>
      <c r="AK229">
        <v>0</v>
      </c>
      <c r="AL229">
        <v>7.3903002309468821E-2</v>
      </c>
      <c r="AN229">
        <v>36</v>
      </c>
      <c r="AO229" s="3">
        <v>0</v>
      </c>
      <c r="AQ229">
        <v>432</v>
      </c>
      <c r="AR229">
        <f>(Table2[[#This Row],[Tx_Arm_Patinet_Withdrawal_Consent]]+Table2[[#This Row],[Tx_am_lost_fu]]+Table2[[#This Row],[Tx_arm_noncomp]])/Table2[[#This Row],[Tx_arm_randomized_to_tx]]</f>
        <v>8.3333333333333329E-2</v>
      </c>
      <c r="AS229">
        <v>27</v>
      </c>
      <c r="AV229">
        <v>434</v>
      </c>
      <c r="AW229">
        <f>(Table2[[#This Row],[Cr_arm_patient_withdrawal_consent]]+Table2[[#This Row],[Cr_arm_lost_fu]]+Table2[[#This Row],[Cr_am_noncomp]])/Table2[[#This Row],[Cr_am_total_randomized+patients]]</f>
        <v>6.2211981566820278E-2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54</v>
      </c>
      <c r="BI229" t="s">
        <v>63</v>
      </c>
    </row>
    <row r="230" spans="1:61" x14ac:dyDescent="0.2">
      <c r="A230" s="5" t="s">
        <v>188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 t="s">
        <v>69</v>
      </c>
      <c r="N230">
        <v>0</v>
      </c>
      <c r="O230">
        <v>4.7666666666666666</v>
      </c>
      <c r="P230" t="s">
        <v>61</v>
      </c>
      <c r="Q230" t="s">
        <v>56</v>
      </c>
      <c r="R230">
        <v>1</v>
      </c>
      <c r="S230">
        <v>1</v>
      </c>
      <c r="T230" t="s">
        <v>51</v>
      </c>
      <c r="U230" t="s">
        <v>52</v>
      </c>
      <c r="V230" t="s">
        <v>53</v>
      </c>
      <c r="W230">
        <v>542</v>
      </c>
      <c r="X230">
        <v>542</v>
      </c>
      <c r="Y230">
        <v>1</v>
      </c>
      <c r="Z230">
        <v>36</v>
      </c>
      <c r="AA230">
        <v>23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424</v>
      </c>
      <c r="AH230">
        <v>3</v>
      </c>
      <c r="AJ230">
        <v>54</v>
      </c>
      <c r="AK230">
        <v>0</v>
      </c>
      <c r="AL230">
        <v>7.3800738007380073E-2</v>
      </c>
      <c r="AM230" t="s">
        <v>384</v>
      </c>
      <c r="AN230">
        <v>32</v>
      </c>
      <c r="AQ230">
        <v>541</v>
      </c>
      <c r="AR230" s="8">
        <f>(Table2[[#This Row],[Tx_Arm_Patinet_Withdrawal_Consent]]+Table2[[#This Row],[Tx_am_lost_fu]]+Table2[[#This Row],[Tx_arm_noncomp]])/Table2[[#This Row],[Tx_arm_randomized_to_tx]]</f>
        <v>5.9149722735674676E-2</v>
      </c>
      <c r="AS230" t="s">
        <v>373</v>
      </c>
      <c r="AT230" t="s">
        <v>373</v>
      </c>
      <c r="AU230" t="s">
        <v>373</v>
      </c>
      <c r="AV230" t="s">
        <v>373</v>
      </c>
      <c r="AW230" s="8" t="e">
        <f>(Table2[[#This Row],[Cr_arm_patient_withdrawal_consent]]+Table2[[#This Row],[Cr_arm_lost_fu]]+Table2[[#This Row],[Cr_am_noncomp]])/Table2[[#This Row],[Cr_am_total_randomized+patients]]</f>
        <v>#VALUE!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57</v>
      </c>
      <c r="BI230" t="s">
        <v>54</v>
      </c>
    </row>
    <row r="231" spans="1:61" x14ac:dyDescent="0.2">
      <c r="A231" t="s">
        <v>82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48</v>
      </c>
      <c r="N231">
        <v>1</v>
      </c>
      <c r="O231" t="s">
        <v>49</v>
      </c>
      <c r="P231" t="s">
        <v>56</v>
      </c>
      <c r="Q231" t="s">
        <v>50</v>
      </c>
      <c r="R231">
        <v>1</v>
      </c>
      <c r="S231">
        <v>1</v>
      </c>
      <c r="T231" t="s">
        <v>51</v>
      </c>
      <c r="U231" t="s">
        <v>52</v>
      </c>
      <c r="V231" t="s">
        <v>53</v>
      </c>
      <c r="W231">
        <v>112</v>
      </c>
      <c r="X231">
        <v>111</v>
      </c>
      <c r="Y231">
        <v>0.9910714285714286</v>
      </c>
      <c r="Z231">
        <v>18</v>
      </c>
      <c r="AA231">
        <v>11</v>
      </c>
      <c r="AB231">
        <v>80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J231">
        <v>1</v>
      </c>
      <c r="AK231">
        <v>0</v>
      </c>
      <c r="AL231">
        <v>0.16964285714285715</v>
      </c>
      <c r="AN231">
        <v>14</v>
      </c>
      <c r="AO231" s="3">
        <v>0</v>
      </c>
      <c r="AQ231">
        <v>56</v>
      </c>
      <c r="AR231">
        <f>(Table2[[#This Row],[Tx_Arm_Patinet_Withdrawal_Consent]]+Table2[[#This Row],[Tx_am_lost_fu]]+Table2[[#This Row],[Tx_arm_noncomp]])/Table2[[#This Row],[Tx_arm_randomized_to_tx]]</f>
        <v>0.25</v>
      </c>
      <c r="AS231">
        <v>4</v>
      </c>
      <c r="AV231">
        <v>56</v>
      </c>
      <c r="AW231">
        <f>(Table2[[#This Row],[Cr_arm_patient_withdrawal_consent]]+Table2[[#This Row],[Cr_arm_lost_fu]]+Table2[[#This Row],[Cr_am_noncomp]])/Table2[[#This Row],[Cr_am_total_randomized+patients]]</f>
        <v>7.1428571428571425E-2</v>
      </c>
      <c r="AX231">
        <v>0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54</v>
      </c>
      <c r="BI231" t="s">
        <v>54</v>
      </c>
    </row>
    <row r="232" spans="1:61" x14ac:dyDescent="0.2">
      <c r="A232" t="s">
        <v>283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 t="s">
        <v>48</v>
      </c>
      <c r="N232">
        <v>1</v>
      </c>
      <c r="O232">
        <v>0.82222222222222219</v>
      </c>
      <c r="P232" t="s">
        <v>50</v>
      </c>
      <c r="Q232" t="s">
        <v>50</v>
      </c>
      <c r="R232">
        <v>1</v>
      </c>
      <c r="S232">
        <v>1</v>
      </c>
      <c r="T232" t="s">
        <v>51</v>
      </c>
      <c r="U232" t="s">
        <v>52</v>
      </c>
      <c r="V232" t="s">
        <v>53</v>
      </c>
      <c r="W232">
        <v>521</v>
      </c>
      <c r="X232">
        <v>521</v>
      </c>
      <c r="Y232">
        <v>1</v>
      </c>
      <c r="Z232">
        <v>20</v>
      </c>
      <c r="AA232">
        <v>28</v>
      </c>
      <c r="AB232">
        <v>427</v>
      </c>
      <c r="AC232">
        <v>15</v>
      </c>
      <c r="AD232">
        <v>0</v>
      </c>
      <c r="AE232">
        <v>0</v>
      </c>
      <c r="AF232">
        <v>1</v>
      </c>
      <c r="AG232">
        <v>3</v>
      </c>
      <c r="AH232">
        <v>0</v>
      </c>
      <c r="AJ232">
        <v>27</v>
      </c>
      <c r="AK232">
        <v>0</v>
      </c>
      <c r="AL232">
        <v>4.0307101727447218E-2</v>
      </c>
      <c r="AN232">
        <v>4</v>
      </c>
      <c r="AO232" s="3">
        <v>0</v>
      </c>
      <c r="AQ232">
        <v>347</v>
      </c>
      <c r="AR232">
        <f>(Table2[[#This Row],[Tx_Arm_Patinet_Withdrawal_Consent]]+Table2[[#This Row],[Tx_am_lost_fu]]+Table2[[#This Row],[Tx_arm_noncomp]])/Table2[[#This Row],[Tx_arm_randomized_to_tx]]</f>
        <v>1.1527377521613832E-2</v>
      </c>
      <c r="AS232">
        <v>3</v>
      </c>
      <c r="AV232">
        <v>174</v>
      </c>
      <c r="AW232">
        <f>(Table2[[#This Row],[Cr_arm_patient_withdrawal_consent]]+Table2[[#This Row],[Cr_arm_lost_fu]]+Table2[[#This Row],[Cr_am_noncomp]])/Table2[[#This Row],[Cr_am_total_randomized+patients]]</f>
        <v>1.7241379310344827E-2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54</v>
      </c>
      <c r="BI232" t="s">
        <v>63</v>
      </c>
    </row>
    <row r="233" spans="1:61" x14ac:dyDescent="0.2">
      <c r="A233" t="s">
        <v>238</v>
      </c>
      <c r="B233">
        <v>1</v>
      </c>
      <c r="C233">
        <v>0</v>
      </c>
      <c r="D233">
        <v>0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69</v>
      </c>
      <c r="N233">
        <v>0</v>
      </c>
      <c r="O233">
        <v>4.3666666666666663</v>
      </c>
      <c r="P233" t="s">
        <v>56</v>
      </c>
      <c r="Q233" t="s">
        <v>56</v>
      </c>
      <c r="R233">
        <v>2</v>
      </c>
      <c r="S233">
        <v>0</v>
      </c>
      <c r="T233" t="s">
        <v>51</v>
      </c>
      <c r="U233" t="s">
        <v>52</v>
      </c>
      <c r="V233" t="s">
        <v>53</v>
      </c>
      <c r="W233">
        <v>240</v>
      </c>
      <c r="X233">
        <v>39</v>
      </c>
      <c r="Y233">
        <v>0.16250000000000001</v>
      </c>
      <c r="Z233">
        <v>8</v>
      </c>
      <c r="AA233">
        <v>19</v>
      </c>
      <c r="AB233">
        <v>4</v>
      </c>
      <c r="AC233">
        <v>0</v>
      </c>
      <c r="AD233">
        <v>0</v>
      </c>
      <c r="AE233">
        <v>0</v>
      </c>
      <c r="AF233">
        <v>6</v>
      </c>
      <c r="AG233">
        <v>0</v>
      </c>
      <c r="AH233">
        <v>0</v>
      </c>
      <c r="AJ233">
        <v>2</v>
      </c>
      <c r="AK233">
        <v>0</v>
      </c>
      <c r="AL233">
        <v>5.8333333333333334E-2</v>
      </c>
      <c r="AN233">
        <v>6</v>
      </c>
      <c r="AO233" s="3">
        <v>0</v>
      </c>
      <c r="AP233">
        <v>1</v>
      </c>
      <c r="AQ233">
        <v>121</v>
      </c>
      <c r="AR233">
        <f>(Table2[[#This Row],[Tx_Arm_Patinet_Withdrawal_Consent]]+Table2[[#This Row],[Tx_am_lost_fu]]+Table2[[#This Row],[Tx_arm_noncomp]])/Table2[[#This Row],[Tx_arm_randomized_to_tx]]</f>
        <v>5.7851239669421489E-2</v>
      </c>
      <c r="AS233">
        <v>2</v>
      </c>
      <c r="AU233">
        <v>1</v>
      </c>
      <c r="AV233">
        <v>119</v>
      </c>
      <c r="AW233">
        <f>(Table2[[#This Row],[Cr_arm_patient_withdrawal_consent]]+Table2[[#This Row],[Cr_arm_lost_fu]]+Table2[[#This Row],[Cr_am_noncomp]])/Table2[[#This Row],[Cr_am_total_randomized+patients]]</f>
        <v>2.5210084033613446E-2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54</v>
      </c>
      <c r="BI233" t="s">
        <v>54</v>
      </c>
    </row>
    <row r="234" spans="1:61" x14ac:dyDescent="0.2">
      <c r="A234" t="s">
        <v>243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 t="s">
        <v>48</v>
      </c>
      <c r="N234">
        <v>1</v>
      </c>
      <c r="O234">
        <v>0.80833333333333335</v>
      </c>
      <c r="P234" t="s">
        <v>50</v>
      </c>
      <c r="Q234" t="s">
        <v>50</v>
      </c>
      <c r="R234">
        <v>2</v>
      </c>
      <c r="S234">
        <v>1</v>
      </c>
      <c r="T234" t="s">
        <v>51</v>
      </c>
      <c r="U234" t="s">
        <v>52</v>
      </c>
      <c r="V234" t="s">
        <v>53</v>
      </c>
      <c r="W234">
        <v>358</v>
      </c>
      <c r="X234">
        <v>122</v>
      </c>
      <c r="Y234">
        <v>0.34078212290502791</v>
      </c>
      <c r="Z234">
        <v>20</v>
      </c>
      <c r="AA234">
        <v>22</v>
      </c>
      <c r="AB234">
        <v>75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0</v>
      </c>
      <c r="AJ234">
        <v>3</v>
      </c>
      <c r="AK234">
        <v>0</v>
      </c>
      <c r="AL234">
        <v>5.5865921787709494E-2</v>
      </c>
      <c r="AN234">
        <v>13</v>
      </c>
      <c r="AO234" s="3">
        <v>0</v>
      </c>
      <c r="AQ234">
        <v>178</v>
      </c>
      <c r="AR234">
        <f>(Table2[[#This Row],[Tx_Arm_Patinet_Withdrawal_Consent]]+Table2[[#This Row],[Tx_am_lost_fu]]+Table2[[#This Row],[Tx_arm_noncomp]])/Table2[[#This Row],[Tx_arm_randomized_to_tx]]</f>
        <v>7.3033707865168537E-2</v>
      </c>
      <c r="AS234">
        <v>7</v>
      </c>
      <c r="AV234">
        <v>180</v>
      </c>
      <c r="AW234">
        <f>(Table2[[#This Row],[Cr_arm_patient_withdrawal_consent]]+Table2[[#This Row],[Cr_arm_lost_fu]]+Table2[[#This Row],[Cr_am_noncomp]])/Table2[[#This Row],[Cr_am_total_randomized+patients]]</f>
        <v>3.888888888888889E-2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54</v>
      </c>
      <c r="BI234" t="s">
        <v>63</v>
      </c>
    </row>
    <row r="235" spans="1:61" x14ac:dyDescent="0.2">
      <c r="A235" t="s">
        <v>78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60</v>
      </c>
      <c r="N235">
        <v>0</v>
      </c>
      <c r="O235">
        <v>1.033333333333333</v>
      </c>
      <c r="P235" t="s">
        <v>61</v>
      </c>
      <c r="Q235" t="s">
        <v>56</v>
      </c>
      <c r="R235">
        <v>3</v>
      </c>
      <c r="S235">
        <v>0</v>
      </c>
      <c r="T235" t="s">
        <v>51</v>
      </c>
      <c r="U235" t="s">
        <v>52</v>
      </c>
      <c r="V235" t="s">
        <v>53</v>
      </c>
      <c r="W235">
        <v>101</v>
      </c>
      <c r="X235">
        <v>32</v>
      </c>
      <c r="Y235">
        <v>0.31683168316831684</v>
      </c>
      <c r="Z235">
        <v>15</v>
      </c>
      <c r="AA235">
        <v>4</v>
      </c>
      <c r="AB235">
        <v>7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3</v>
      </c>
      <c r="AJ235">
        <v>1</v>
      </c>
      <c r="AK235">
        <v>0</v>
      </c>
      <c r="AL235">
        <v>0.18811881188118812</v>
      </c>
      <c r="AN235">
        <v>15</v>
      </c>
      <c r="AO235" s="3">
        <v>0</v>
      </c>
      <c r="AP235">
        <v>1</v>
      </c>
      <c r="AQ235">
        <v>101</v>
      </c>
      <c r="AR235">
        <f>(Table2[[#This Row],[Tx_Arm_Patinet_Withdrawal_Consent]]+Table2[[#This Row],[Tx_am_lost_fu]]+Table2[[#This Row],[Tx_arm_noncomp]])/Table2[[#This Row],[Tx_arm_randomized_to_tx]]</f>
        <v>0.15841584158415842</v>
      </c>
      <c r="AS235" t="s">
        <v>373</v>
      </c>
      <c r="AT235" t="s">
        <v>373</v>
      </c>
      <c r="AU235" t="s">
        <v>373</v>
      </c>
      <c r="AV235" t="s">
        <v>373</v>
      </c>
      <c r="AW235" t="e">
        <f>(Table2[[#This Row],[Cr_arm_patient_withdrawal_consent]]+Table2[[#This Row],[Cr_arm_lost_fu]]+Table2[[#This Row],[Cr_am_noncomp]])/Table2[[#This Row],[Cr_am_total_randomized+patients]]</f>
        <v>#VALUE!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57</v>
      </c>
      <c r="BI235" t="s">
        <v>57</v>
      </c>
    </row>
    <row r="236" spans="1:61" x14ac:dyDescent="0.2">
      <c r="A236" t="s">
        <v>365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48</v>
      </c>
      <c r="N236">
        <v>1</v>
      </c>
      <c r="O236">
        <v>0.31944444444444442</v>
      </c>
      <c r="P236" t="s">
        <v>56</v>
      </c>
      <c r="Q236" t="s">
        <v>56</v>
      </c>
      <c r="R236">
        <v>2</v>
      </c>
      <c r="S236">
        <v>0</v>
      </c>
      <c r="T236" t="s">
        <v>368</v>
      </c>
      <c r="U236" t="s">
        <v>52</v>
      </c>
      <c r="V236" t="s">
        <v>53</v>
      </c>
      <c r="W236">
        <v>30</v>
      </c>
      <c r="X236">
        <v>2</v>
      </c>
      <c r="Y236">
        <v>6.6666666666666666E-2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J236">
        <v>1</v>
      </c>
      <c r="AK236">
        <v>0</v>
      </c>
      <c r="AL236">
        <v>0</v>
      </c>
      <c r="AN236">
        <v>0</v>
      </c>
      <c r="AO236" s="3">
        <v>0</v>
      </c>
      <c r="AQ236">
        <v>14</v>
      </c>
      <c r="AR236">
        <f>(Table2[[#This Row],[Tx_Arm_Patinet_Withdrawal_Consent]]+Table2[[#This Row],[Tx_am_lost_fu]]+Table2[[#This Row],[Tx_arm_noncomp]])/Table2[[#This Row],[Tx_arm_randomized_to_tx]]</f>
        <v>0</v>
      </c>
      <c r="AS236">
        <v>0</v>
      </c>
      <c r="AV236">
        <v>13</v>
      </c>
      <c r="AW236">
        <f>(Table2[[#This Row],[Cr_arm_patient_withdrawal_consent]]+Table2[[#This Row],[Cr_arm_lost_fu]]+Table2[[#This Row],[Cr_am_noncomp]])/Table2[[#This Row],[Cr_am_total_randomized+patients]]</f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54</v>
      </c>
      <c r="BI236" t="s">
        <v>54</v>
      </c>
    </row>
    <row r="237" spans="1:61" x14ac:dyDescent="0.2">
      <c r="A237" t="s">
        <v>341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 t="s">
        <v>48</v>
      </c>
      <c r="N237">
        <v>1</v>
      </c>
      <c r="O237">
        <v>0.64444444444444449</v>
      </c>
      <c r="P237" t="s">
        <v>56</v>
      </c>
      <c r="Q237" t="s">
        <v>56</v>
      </c>
      <c r="R237">
        <v>1</v>
      </c>
      <c r="S237">
        <v>1</v>
      </c>
      <c r="T237" t="s">
        <v>51</v>
      </c>
      <c r="U237" t="s">
        <v>52</v>
      </c>
      <c r="V237" t="s">
        <v>53</v>
      </c>
      <c r="W237">
        <v>707</v>
      </c>
      <c r="X237">
        <v>608</v>
      </c>
      <c r="Y237">
        <v>0.85997171145686002</v>
      </c>
      <c r="Z237">
        <v>17</v>
      </c>
      <c r="AA237">
        <v>109</v>
      </c>
      <c r="AB237">
        <v>358</v>
      </c>
      <c r="AC237">
        <v>110</v>
      </c>
      <c r="AD237">
        <v>0</v>
      </c>
      <c r="AE237">
        <v>0</v>
      </c>
      <c r="AF237">
        <v>6</v>
      </c>
      <c r="AG237">
        <v>0</v>
      </c>
      <c r="AH237">
        <v>1</v>
      </c>
      <c r="AJ237">
        <v>7</v>
      </c>
      <c r="AK237">
        <v>0</v>
      </c>
      <c r="AL237">
        <v>3.3946251768033946E-2</v>
      </c>
      <c r="AN237">
        <v>11</v>
      </c>
      <c r="AO237" s="3">
        <v>0</v>
      </c>
      <c r="AQ237">
        <v>470</v>
      </c>
      <c r="AR237">
        <f>(Table2[[#This Row],[Tx_Arm_Patinet_Withdrawal_Consent]]+Table2[[#This Row],[Tx_am_lost_fu]]+Table2[[#This Row],[Tx_arm_noncomp]])/Table2[[#This Row],[Tx_arm_randomized_to_tx]]</f>
        <v>2.3404255319148935E-2</v>
      </c>
      <c r="AS237">
        <v>6</v>
      </c>
      <c r="AV237">
        <v>237</v>
      </c>
      <c r="AW237">
        <f>(Table2[[#This Row],[Cr_arm_patient_withdrawal_consent]]+Table2[[#This Row],[Cr_arm_lost_fu]]+Table2[[#This Row],[Cr_am_noncomp]])/Table2[[#This Row],[Cr_am_total_randomized+patients]]</f>
        <v>2.5316455696202531E-2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54</v>
      </c>
      <c r="BI237" t="s">
        <v>63</v>
      </c>
    </row>
    <row r="238" spans="1:61" x14ac:dyDescent="0.2">
      <c r="A238" t="s">
        <v>227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48</v>
      </c>
      <c r="N238">
        <v>1</v>
      </c>
      <c r="O238">
        <v>7.1416666666666666</v>
      </c>
      <c r="P238" t="s">
        <v>56</v>
      </c>
      <c r="Q238" t="s">
        <v>56</v>
      </c>
      <c r="R238">
        <v>1</v>
      </c>
      <c r="S238">
        <v>1</v>
      </c>
      <c r="T238" t="s">
        <v>51</v>
      </c>
      <c r="U238" t="s">
        <v>179</v>
      </c>
      <c r="V238" t="s">
        <v>73</v>
      </c>
      <c r="W238">
        <v>1034</v>
      </c>
      <c r="X238">
        <v>859</v>
      </c>
      <c r="Y238">
        <v>0.83075435203094783</v>
      </c>
      <c r="Z238">
        <v>60</v>
      </c>
      <c r="AA238">
        <v>113</v>
      </c>
      <c r="AB238">
        <v>339</v>
      </c>
      <c r="AC238">
        <v>0</v>
      </c>
      <c r="AD238">
        <v>0</v>
      </c>
      <c r="AE238">
        <v>269</v>
      </c>
      <c r="AF238">
        <v>4</v>
      </c>
      <c r="AG238">
        <v>63</v>
      </c>
      <c r="AH238">
        <v>0</v>
      </c>
      <c r="AJ238">
        <v>11</v>
      </c>
      <c r="AK238">
        <v>0</v>
      </c>
      <c r="AL238">
        <v>6.1895551257253385E-2</v>
      </c>
      <c r="AN238">
        <v>15</v>
      </c>
      <c r="AO238" s="3">
        <v>0</v>
      </c>
      <c r="AQ238">
        <v>791</v>
      </c>
      <c r="AR238">
        <f>(Table2[[#This Row],[Tx_Arm_Patinet_Withdrawal_Consent]]+Table2[[#This Row],[Tx_am_lost_fu]]+Table2[[#This Row],[Tx_arm_noncomp]])/Table2[[#This Row],[Tx_arm_randomized_to_tx]]</f>
        <v>1.8963337547408345E-2</v>
      </c>
      <c r="AS238">
        <v>45</v>
      </c>
      <c r="AV238">
        <v>343</v>
      </c>
      <c r="AW238">
        <f>(Table2[[#This Row],[Cr_arm_patient_withdrawal_consent]]+Table2[[#This Row],[Cr_arm_lost_fu]]+Table2[[#This Row],[Cr_am_noncomp]])/Table2[[#This Row],[Cr_am_total_randomized+patients]]</f>
        <v>0.13119533527696792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57</v>
      </c>
      <c r="BI238" t="s">
        <v>54</v>
      </c>
    </row>
    <row r="239" spans="1:61" x14ac:dyDescent="0.2">
      <c r="A239" t="s">
        <v>242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 t="s">
        <v>60</v>
      </c>
      <c r="N239">
        <v>0</v>
      </c>
      <c r="O239">
        <v>5.8277777777777784</v>
      </c>
      <c r="P239" t="s">
        <v>61</v>
      </c>
      <c r="Q239" t="s">
        <v>56</v>
      </c>
      <c r="R239">
        <v>3</v>
      </c>
      <c r="S239">
        <v>0</v>
      </c>
      <c r="T239" t="s">
        <v>51</v>
      </c>
      <c r="U239" t="s">
        <v>52</v>
      </c>
      <c r="V239" t="s">
        <v>53</v>
      </c>
      <c r="W239">
        <v>159</v>
      </c>
      <c r="X239">
        <v>45</v>
      </c>
      <c r="Y239">
        <v>0.28301886792452829</v>
      </c>
      <c r="Z239">
        <v>3</v>
      </c>
      <c r="AA239">
        <v>0</v>
      </c>
      <c r="AB239">
        <v>14</v>
      </c>
      <c r="AC239">
        <v>0</v>
      </c>
      <c r="AD239">
        <v>0</v>
      </c>
      <c r="AE239">
        <v>0</v>
      </c>
      <c r="AF239">
        <v>0</v>
      </c>
      <c r="AG239">
        <v>18</v>
      </c>
      <c r="AH239">
        <v>6</v>
      </c>
      <c r="AJ239">
        <v>4</v>
      </c>
      <c r="AK239">
        <v>0</v>
      </c>
      <c r="AL239">
        <v>5.6603773584905662E-2</v>
      </c>
      <c r="AN239">
        <v>3</v>
      </c>
      <c r="AO239" s="3">
        <v>0</v>
      </c>
      <c r="AQ239">
        <v>158</v>
      </c>
      <c r="AR239">
        <f>(Table2[[#This Row],[Tx_Arm_Patinet_Withdrawal_Consent]]+Table2[[#This Row],[Tx_am_lost_fu]]+Table2[[#This Row],[Tx_arm_noncomp]])/Table2[[#This Row],[Tx_arm_randomized_to_tx]]</f>
        <v>1.8987341772151899E-2</v>
      </c>
      <c r="AS239" t="s">
        <v>373</v>
      </c>
      <c r="AT239" t="s">
        <v>373</v>
      </c>
      <c r="AU239" t="s">
        <v>373</v>
      </c>
      <c r="AV239" t="s">
        <v>373</v>
      </c>
      <c r="AW239" t="e">
        <f>(Table2[[#This Row],[Cr_arm_patient_withdrawal_consent]]+Table2[[#This Row],[Cr_arm_lost_fu]]+Table2[[#This Row],[Cr_am_noncomp]])/Table2[[#This Row],[Cr_am_total_randomized+patients]]</f>
        <v>#VALUE!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54</v>
      </c>
      <c r="BI239" t="s">
        <v>54</v>
      </c>
    </row>
    <row r="240" spans="1:61" x14ac:dyDescent="0.2">
      <c r="A240" t="s">
        <v>177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48</v>
      </c>
      <c r="N240">
        <v>1</v>
      </c>
      <c r="O240">
        <v>7.166666666666667</v>
      </c>
      <c r="P240" t="s">
        <v>56</v>
      </c>
      <c r="Q240" t="s">
        <v>56</v>
      </c>
      <c r="R240">
        <v>1</v>
      </c>
      <c r="S240">
        <v>1</v>
      </c>
      <c r="T240" t="s">
        <v>65</v>
      </c>
      <c r="U240" t="s">
        <v>52</v>
      </c>
      <c r="V240" t="s">
        <v>53</v>
      </c>
      <c r="W240">
        <v>1250</v>
      </c>
      <c r="X240">
        <v>219</v>
      </c>
      <c r="Y240">
        <v>0.17519999999999999</v>
      </c>
      <c r="Z240">
        <v>97</v>
      </c>
      <c r="AA240">
        <v>38</v>
      </c>
      <c r="AB240">
        <v>70</v>
      </c>
      <c r="AC240">
        <v>0</v>
      </c>
      <c r="AD240">
        <v>0</v>
      </c>
      <c r="AE240">
        <v>11</v>
      </c>
      <c r="AF240">
        <v>0</v>
      </c>
      <c r="AG240">
        <v>3</v>
      </c>
      <c r="AH240">
        <v>0</v>
      </c>
      <c r="AJ240">
        <v>0</v>
      </c>
      <c r="AK240">
        <v>0</v>
      </c>
      <c r="AL240">
        <v>7.7600000000000002E-2</v>
      </c>
      <c r="AN240">
        <v>56</v>
      </c>
      <c r="AO240" s="3">
        <v>0</v>
      </c>
      <c r="AQ240">
        <v>631</v>
      </c>
      <c r="AR240">
        <f>(Table2[[#This Row],[Tx_Arm_Patinet_Withdrawal_Consent]]+Table2[[#This Row],[Tx_am_lost_fu]]+Table2[[#This Row],[Tx_arm_noncomp]])/Table2[[#This Row],[Tx_arm_randomized_to_tx]]</f>
        <v>8.874801901743265E-2</v>
      </c>
      <c r="AS240">
        <v>41</v>
      </c>
      <c r="AV240">
        <v>619</v>
      </c>
      <c r="AW240">
        <f>(Table2[[#This Row],[Cr_arm_patient_withdrawal_consent]]+Table2[[#This Row],[Cr_arm_lost_fu]]+Table2[[#This Row],[Cr_am_noncomp]])/Table2[[#This Row],[Cr_am_total_randomized+patients]]</f>
        <v>6.623586429725363E-2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54</v>
      </c>
      <c r="BI240" t="s">
        <v>63</v>
      </c>
    </row>
    <row r="241" spans="1:61" x14ac:dyDescent="0.2">
      <c r="A241" t="s">
        <v>262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 t="s">
        <v>48</v>
      </c>
      <c r="N241">
        <v>1</v>
      </c>
      <c r="O241">
        <v>5.5888888888888886</v>
      </c>
      <c r="P241" t="s">
        <v>50</v>
      </c>
      <c r="Q241" t="s">
        <v>50</v>
      </c>
      <c r="R241">
        <v>2</v>
      </c>
      <c r="S241">
        <v>0</v>
      </c>
      <c r="T241" t="s">
        <v>51</v>
      </c>
      <c r="U241" t="s">
        <v>52</v>
      </c>
      <c r="V241" t="s">
        <v>53</v>
      </c>
      <c r="W241">
        <v>838</v>
      </c>
      <c r="X241">
        <v>838</v>
      </c>
      <c r="Y241">
        <v>1</v>
      </c>
      <c r="Z241">
        <v>63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156</v>
      </c>
      <c r="AH241">
        <v>32</v>
      </c>
      <c r="AJ241">
        <v>0</v>
      </c>
      <c r="AK241">
        <v>587</v>
      </c>
      <c r="AL241">
        <v>0.11336515513126491</v>
      </c>
      <c r="AN241">
        <v>16</v>
      </c>
      <c r="AO241" s="3">
        <v>9</v>
      </c>
      <c r="AP241">
        <v>8</v>
      </c>
      <c r="AQ241">
        <v>419</v>
      </c>
      <c r="AR241">
        <f>(Table2[[#This Row],[Tx_Arm_Patinet_Withdrawal_Consent]]+Table2[[#This Row],[Tx_am_lost_fu]]+Table2[[#This Row],[Tx_arm_noncomp]])/Table2[[#This Row],[Tx_arm_randomized_to_tx]]</f>
        <v>7.8758949880668255E-2</v>
      </c>
      <c r="AS241">
        <v>11</v>
      </c>
      <c r="AT241">
        <v>9</v>
      </c>
      <c r="AU241">
        <v>5</v>
      </c>
      <c r="AV241">
        <v>419</v>
      </c>
      <c r="AW241">
        <f>(Table2[[#This Row],[Cr_arm_patient_withdrawal_consent]]+Table2[[#This Row],[Cr_arm_lost_fu]]+Table2[[#This Row],[Cr_am_noncomp]])/Table2[[#This Row],[Cr_am_total_randomized+patients]]</f>
        <v>5.9665871121718374E-2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54</v>
      </c>
      <c r="BI241" t="s">
        <v>54</v>
      </c>
    </row>
    <row r="242" spans="1:61" x14ac:dyDescent="0.2">
      <c r="A242" t="s">
        <v>289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 t="s">
        <v>48</v>
      </c>
      <c r="N242">
        <v>1</v>
      </c>
      <c r="O242">
        <v>0.68333333333333335</v>
      </c>
      <c r="P242" t="s">
        <v>50</v>
      </c>
      <c r="Q242" t="s">
        <v>50</v>
      </c>
      <c r="R242">
        <v>2</v>
      </c>
      <c r="S242">
        <v>0</v>
      </c>
      <c r="T242" t="s">
        <v>51</v>
      </c>
      <c r="U242" t="s">
        <v>52</v>
      </c>
      <c r="V242" t="s">
        <v>53</v>
      </c>
      <c r="W242">
        <v>705</v>
      </c>
      <c r="X242">
        <v>649</v>
      </c>
      <c r="Y242">
        <v>0.92056737588652482</v>
      </c>
      <c r="Z242">
        <v>68</v>
      </c>
      <c r="AA242">
        <v>218</v>
      </c>
      <c r="AB242">
        <v>289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10</v>
      </c>
      <c r="AJ242">
        <v>64</v>
      </c>
      <c r="AK242">
        <v>0</v>
      </c>
      <c r="AL242">
        <v>0.11063829787234042</v>
      </c>
      <c r="AN242">
        <v>19</v>
      </c>
      <c r="AO242" s="3">
        <v>0</v>
      </c>
      <c r="AQ242">
        <v>351</v>
      </c>
      <c r="AR242">
        <f>(Table2[[#This Row],[Tx_Arm_Patinet_Withdrawal_Consent]]+Table2[[#This Row],[Tx_am_lost_fu]]+Table2[[#This Row],[Tx_arm_noncomp]])/Table2[[#This Row],[Tx_arm_randomized_to_tx]]</f>
        <v>5.4131054131054131E-2</v>
      </c>
      <c r="AS242">
        <v>8</v>
      </c>
      <c r="AV242">
        <v>354</v>
      </c>
      <c r="AW242">
        <f>(Table2[[#This Row],[Cr_arm_patient_withdrawal_consent]]+Table2[[#This Row],[Cr_arm_lost_fu]]+Table2[[#This Row],[Cr_am_noncomp]])/Table2[[#This Row],[Cr_am_total_randomized+patients]]</f>
        <v>2.2598870056497175E-2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54</v>
      </c>
      <c r="BI242" t="s">
        <v>63</v>
      </c>
    </row>
    <row r="243" spans="1:61" x14ac:dyDescent="0.2">
      <c r="A243" t="s">
        <v>93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48</v>
      </c>
      <c r="N243">
        <v>1</v>
      </c>
      <c r="O243">
        <v>14.33333333333333</v>
      </c>
      <c r="P243" t="s">
        <v>56</v>
      </c>
      <c r="Q243" t="s">
        <v>56</v>
      </c>
      <c r="R243">
        <v>2</v>
      </c>
      <c r="S243">
        <v>0</v>
      </c>
      <c r="T243" t="s">
        <v>51</v>
      </c>
      <c r="U243" t="s">
        <v>52</v>
      </c>
      <c r="V243" t="s">
        <v>73</v>
      </c>
      <c r="W243">
        <v>596</v>
      </c>
      <c r="X243">
        <v>479</v>
      </c>
      <c r="Y243">
        <v>0.80369127516778527</v>
      </c>
      <c r="Z243">
        <v>74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315</v>
      </c>
      <c r="AH243">
        <v>15</v>
      </c>
      <c r="AJ243">
        <v>73</v>
      </c>
      <c r="AK243">
        <v>0</v>
      </c>
      <c r="AL243">
        <v>0.14932885906040269</v>
      </c>
      <c r="AN243">
        <v>20</v>
      </c>
      <c r="AO243" s="3">
        <v>0</v>
      </c>
      <c r="AQ243">
        <v>372</v>
      </c>
      <c r="AR243">
        <f>(Table2[[#This Row],[Tx_Arm_Patinet_Withdrawal_Consent]]+Table2[[#This Row],[Tx_am_lost_fu]]+Table2[[#This Row],[Tx_arm_noncomp]])/Table2[[#This Row],[Tx_arm_randomized_to_tx]]</f>
        <v>5.3763440860215055E-2</v>
      </c>
      <c r="AS243">
        <v>11</v>
      </c>
      <c r="AV243">
        <v>181</v>
      </c>
      <c r="AW243">
        <f>(Table2[[#This Row],[Cr_arm_patient_withdrawal_consent]]+Table2[[#This Row],[Cr_arm_lost_fu]]+Table2[[#This Row],[Cr_am_noncomp]])/Table2[[#This Row],[Cr_am_total_randomized+patients]]</f>
        <v>6.0773480662983423E-2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 t="s">
        <v>54</v>
      </c>
      <c r="BI243" t="s">
        <v>54</v>
      </c>
    </row>
    <row r="244" spans="1:61" x14ac:dyDescent="0.2">
      <c r="A244" t="s">
        <v>92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48</v>
      </c>
      <c r="N244">
        <v>1</v>
      </c>
      <c r="O244">
        <v>5.083333333333333</v>
      </c>
      <c r="P244" t="s">
        <v>56</v>
      </c>
      <c r="Q244" t="s">
        <v>50</v>
      </c>
      <c r="R244">
        <v>1</v>
      </c>
      <c r="S244">
        <v>1</v>
      </c>
      <c r="T244" t="s">
        <v>51</v>
      </c>
      <c r="U244" t="s">
        <v>52</v>
      </c>
      <c r="V244" t="s">
        <v>53</v>
      </c>
      <c r="W244">
        <v>581</v>
      </c>
      <c r="X244">
        <v>521</v>
      </c>
      <c r="Y244">
        <v>0.89672977624784855</v>
      </c>
      <c r="Z244">
        <v>88</v>
      </c>
      <c r="AA244">
        <v>99</v>
      </c>
      <c r="AB244">
        <v>265</v>
      </c>
      <c r="AC244">
        <v>2</v>
      </c>
      <c r="AD244">
        <v>0</v>
      </c>
      <c r="AE244">
        <v>7</v>
      </c>
      <c r="AF244">
        <v>33</v>
      </c>
      <c r="AG244">
        <v>7</v>
      </c>
      <c r="AH244">
        <v>0</v>
      </c>
      <c r="AJ244">
        <v>20</v>
      </c>
      <c r="AK244">
        <v>0</v>
      </c>
      <c r="AL244">
        <v>0.20826161790017211</v>
      </c>
      <c r="AN244">
        <v>45</v>
      </c>
      <c r="AO244" s="3">
        <v>0</v>
      </c>
      <c r="AP244">
        <v>19</v>
      </c>
      <c r="AQ244">
        <v>289</v>
      </c>
      <c r="AR244">
        <f>(Table2[[#This Row],[Tx_Arm_Patinet_Withdrawal_Consent]]+Table2[[#This Row],[Tx_am_lost_fu]]+Table2[[#This Row],[Tx_arm_noncomp]])/Table2[[#This Row],[Tx_arm_randomized_to_tx]]</f>
        <v>0.22145328719723184</v>
      </c>
      <c r="AS244">
        <v>43</v>
      </c>
      <c r="AT244">
        <v>0</v>
      </c>
      <c r="AU244">
        <v>3</v>
      </c>
      <c r="AV244">
        <v>287</v>
      </c>
      <c r="AW244">
        <f>(Table2[[#This Row],[Cr_arm_patient_withdrawal_consent]]+Table2[[#This Row],[Cr_arm_lost_fu]]+Table2[[#This Row],[Cr_am_noncomp]])/Table2[[#This Row],[Cr_am_total_randomized+patients]]</f>
        <v>0.16027874564459929</v>
      </c>
      <c r="AX244">
        <v>0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54</v>
      </c>
      <c r="BI244" t="s">
        <v>54</v>
      </c>
    </row>
    <row r="245" spans="1:61" x14ac:dyDescent="0.2">
      <c r="A245" s="5" t="s">
        <v>223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 t="s">
        <v>69</v>
      </c>
      <c r="N245">
        <v>0</v>
      </c>
      <c r="O245">
        <v>6</v>
      </c>
      <c r="P245" t="s">
        <v>61</v>
      </c>
      <c r="Q245" t="s">
        <v>56</v>
      </c>
      <c r="R245">
        <v>3</v>
      </c>
      <c r="S245">
        <v>0</v>
      </c>
      <c r="T245" t="s">
        <v>51</v>
      </c>
      <c r="U245" t="s">
        <v>52</v>
      </c>
      <c r="V245" t="s">
        <v>53</v>
      </c>
      <c r="W245">
        <v>80</v>
      </c>
      <c r="X245">
        <v>42</v>
      </c>
      <c r="Y245">
        <v>0.52500000000000002</v>
      </c>
      <c r="Z245">
        <v>3</v>
      </c>
      <c r="AA245">
        <v>3</v>
      </c>
      <c r="AB245">
        <v>13</v>
      </c>
      <c r="AC245">
        <v>0</v>
      </c>
      <c r="AD245">
        <v>17</v>
      </c>
      <c r="AE245">
        <v>0</v>
      </c>
      <c r="AF245">
        <v>0</v>
      </c>
      <c r="AG245">
        <v>4</v>
      </c>
      <c r="AH245">
        <v>2</v>
      </c>
      <c r="AJ245">
        <v>0</v>
      </c>
      <c r="AK245">
        <v>0</v>
      </c>
      <c r="AL245">
        <v>6.25E-2</v>
      </c>
      <c r="AM245" t="s">
        <v>385</v>
      </c>
      <c r="AN245">
        <v>3</v>
      </c>
      <c r="AQ245">
        <v>80</v>
      </c>
      <c r="AR245" s="8">
        <f>(Table2[[#This Row],[Tx_Arm_Patinet_Withdrawal_Consent]]+Table2[[#This Row],[Tx_am_lost_fu]]+Table2[[#This Row],[Tx_arm_noncomp]])/Table2[[#This Row],[Tx_arm_randomized_to_tx]]</f>
        <v>3.7499999999999999E-2</v>
      </c>
      <c r="AS245" t="s">
        <v>373</v>
      </c>
      <c r="AT245" t="s">
        <v>373</v>
      </c>
      <c r="AU245" t="s">
        <v>373</v>
      </c>
      <c r="AV245" t="s">
        <v>373</v>
      </c>
      <c r="AW245" s="8" t="e">
        <f>(Table2[[#This Row],[Cr_arm_patient_withdrawal_consent]]+Table2[[#This Row],[Cr_arm_lost_fu]]+Table2[[#This Row],[Cr_am_noncomp]])/Table2[[#This Row],[Cr_am_total_randomized+patients]]</f>
        <v>#VALUE!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54</v>
      </c>
      <c r="BI245" t="s">
        <v>54</v>
      </c>
    </row>
    <row r="246" spans="1:61" x14ac:dyDescent="0.2">
      <c r="A246" t="s">
        <v>67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 t="s">
        <v>48</v>
      </c>
      <c r="N246">
        <v>1</v>
      </c>
      <c r="O246">
        <v>6.6944444444444446</v>
      </c>
      <c r="P246" t="s">
        <v>50</v>
      </c>
      <c r="Q246" t="s">
        <v>50</v>
      </c>
      <c r="R246">
        <v>2</v>
      </c>
      <c r="S246">
        <v>0</v>
      </c>
      <c r="T246" t="s">
        <v>51</v>
      </c>
      <c r="U246" t="s">
        <v>52</v>
      </c>
      <c r="V246" t="s">
        <v>53</v>
      </c>
      <c r="W246">
        <v>621</v>
      </c>
      <c r="X246">
        <v>621</v>
      </c>
      <c r="Y246">
        <v>1</v>
      </c>
      <c r="Z246">
        <v>22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143</v>
      </c>
      <c r="AG246">
        <v>452</v>
      </c>
      <c r="AH246">
        <v>3</v>
      </c>
      <c r="AJ246">
        <v>1</v>
      </c>
      <c r="AK246">
        <v>0</v>
      </c>
      <c r="AL246">
        <v>0.27053140096618356</v>
      </c>
      <c r="AN246">
        <v>2</v>
      </c>
      <c r="AO246" s="3">
        <v>0</v>
      </c>
      <c r="AP246">
        <v>14</v>
      </c>
      <c r="AQ246">
        <v>307</v>
      </c>
      <c r="AR246">
        <f>(Table2[[#This Row],[Tx_Arm_Patinet_Withdrawal_Consent]]+Table2[[#This Row],[Tx_am_lost_fu]]+Table2[[#This Row],[Tx_arm_noncomp]])/Table2[[#This Row],[Tx_arm_randomized_to_tx]]</f>
        <v>5.2117263843648211E-2</v>
      </c>
      <c r="AS246">
        <v>3</v>
      </c>
      <c r="AU246">
        <v>14</v>
      </c>
      <c r="AV246">
        <v>314</v>
      </c>
      <c r="AW246">
        <f>(Table2[[#This Row],[Cr_arm_patient_withdrawal_consent]]+Table2[[#This Row],[Cr_arm_lost_fu]]+Table2[[#This Row],[Cr_am_noncomp]])/Table2[[#This Row],[Cr_am_total_randomized+patients]]</f>
        <v>5.4140127388535034E-2</v>
      </c>
      <c r="AX246">
        <v>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54</v>
      </c>
      <c r="BI246" t="s">
        <v>54</v>
      </c>
    </row>
    <row r="247" spans="1:61" x14ac:dyDescent="0.2">
      <c r="A247" t="s">
        <v>348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 t="s">
        <v>48</v>
      </c>
      <c r="N247">
        <v>1</v>
      </c>
      <c r="O247">
        <v>2.333333333333333</v>
      </c>
      <c r="P247" t="s">
        <v>50</v>
      </c>
      <c r="Q247" t="s">
        <v>50</v>
      </c>
      <c r="R247">
        <v>2</v>
      </c>
      <c r="S247">
        <v>0</v>
      </c>
      <c r="T247" t="s">
        <v>65</v>
      </c>
      <c r="U247" t="s">
        <v>90</v>
      </c>
      <c r="V247" t="s">
        <v>53</v>
      </c>
      <c r="W247">
        <v>754</v>
      </c>
      <c r="X247">
        <v>173</v>
      </c>
      <c r="Y247">
        <v>0.22944297082228116</v>
      </c>
      <c r="Z247">
        <v>17</v>
      </c>
      <c r="AA247">
        <v>17</v>
      </c>
      <c r="AB247">
        <v>4</v>
      </c>
      <c r="AC247">
        <v>0</v>
      </c>
      <c r="AD247">
        <v>0</v>
      </c>
      <c r="AE247">
        <v>16</v>
      </c>
      <c r="AF247">
        <v>0</v>
      </c>
      <c r="AG247">
        <v>34</v>
      </c>
      <c r="AH247">
        <v>0</v>
      </c>
      <c r="AJ247">
        <v>85</v>
      </c>
      <c r="AK247">
        <v>0</v>
      </c>
      <c r="AL247">
        <v>2.2546419098143235E-2</v>
      </c>
      <c r="AN247">
        <v>5</v>
      </c>
      <c r="AO247" s="3">
        <v>0</v>
      </c>
      <c r="AQ247">
        <v>216</v>
      </c>
      <c r="AR247">
        <f>(Table2[[#This Row],[Tx_Arm_Patinet_Withdrawal_Consent]]+Table2[[#This Row],[Tx_am_lost_fu]]+Table2[[#This Row],[Tx_arm_noncomp]])/Table2[[#This Row],[Tx_arm_randomized_to_tx]]</f>
        <v>2.3148148148148147E-2</v>
      </c>
      <c r="AS247">
        <v>12</v>
      </c>
      <c r="AV247">
        <v>519</v>
      </c>
      <c r="AW247">
        <f>(Table2[[#This Row],[Cr_arm_patient_withdrawal_consent]]+Table2[[#This Row],[Cr_arm_lost_fu]]+Table2[[#This Row],[Cr_am_noncomp]])/Table2[[#This Row],[Cr_am_total_randomized+patients]]</f>
        <v>2.3121387283236993E-2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54</v>
      </c>
      <c r="BI247" t="s">
        <v>57</v>
      </c>
    </row>
    <row r="248" spans="1:61" x14ac:dyDescent="0.2">
      <c r="A248" t="s">
        <v>139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 t="s">
        <v>48</v>
      </c>
      <c r="N248">
        <v>1</v>
      </c>
      <c r="O248">
        <v>7.6722222222222216</v>
      </c>
      <c r="P248" t="s">
        <v>50</v>
      </c>
      <c r="Q248" t="s">
        <v>50</v>
      </c>
      <c r="R248">
        <v>2</v>
      </c>
      <c r="S248">
        <v>1</v>
      </c>
      <c r="T248" t="s">
        <v>51</v>
      </c>
      <c r="U248" t="s">
        <v>52</v>
      </c>
      <c r="V248" t="s">
        <v>53</v>
      </c>
      <c r="W248">
        <v>452</v>
      </c>
      <c r="X248">
        <v>205</v>
      </c>
      <c r="Y248">
        <v>0.45353982300884954</v>
      </c>
      <c r="Z248">
        <v>38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157</v>
      </c>
      <c r="AH248">
        <v>8</v>
      </c>
      <c r="AJ248">
        <v>1</v>
      </c>
      <c r="AK248">
        <v>0</v>
      </c>
      <c r="AL248">
        <v>0.10176991150442478</v>
      </c>
      <c r="AN248">
        <v>4</v>
      </c>
      <c r="AO248" s="3">
        <v>0</v>
      </c>
      <c r="AQ248">
        <v>226</v>
      </c>
      <c r="AR248">
        <f>(Table2[[#This Row],[Tx_Arm_Patinet_Withdrawal_Consent]]+Table2[[#This Row],[Tx_am_lost_fu]]+Table2[[#This Row],[Tx_arm_noncomp]])/Table2[[#This Row],[Tx_arm_randomized_to_tx]]</f>
        <v>1.7699115044247787E-2</v>
      </c>
      <c r="AS248">
        <v>3</v>
      </c>
      <c r="AV248">
        <v>226</v>
      </c>
      <c r="AW248">
        <f>(Table2[[#This Row],[Cr_arm_patient_withdrawal_consent]]+Table2[[#This Row],[Cr_arm_lost_fu]]+Table2[[#This Row],[Cr_am_noncomp]])/Table2[[#This Row],[Cr_am_total_randomized+patients]]</f>
        <v>1.3274336283185841E-2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54</v>
      </c>
      <c r="BI248" t="s">
        <v>54</v>
      </c>
    </row>
    <row r="249" spans="1:61" x14ac:dyDescent="0.2">
      <c r="A249" t="s">
        <v>106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 t="s">
        <v>48</v>
      </c>
      <c r="N249">
        <v>1</v>
      </c>
      <c r="O249">
        <v>0.2388888888888889</v>
      </c>
      <c r="P249" t="s">
        <v>50</v>
      </c>
      <c r="Q249" t="s">
        <v>50</v>
      </c>
      <c r="R249">
        <v>2</v>
      </c>
      <c r="S249">
        <v>0</v>
      </c>
      <c r="T249" t="s">
        <v>51</v>
      </c>
      <c r="U249" t="s">
        <v>52</v>
      </c>
      <c r="V249" t="s">
        <v>53</v>
      </c>
      <c r="W249">
        <v>523</v>
      </c>
      <c r="X249">
        <v>72</v>
      </c>
      <c r="Y249">
        <v>0.13766730401529637</v>
      </c>
      <c r="Z249">
        <v>64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8</v>
      </c>
      <c r="AJ249">
        <v>0</v>
      </c>
      <c r="AK249">
        <v>0</v>
      </c>
      <c r="AL249">
        <v>0.13766730401529637</v>
      </c>
      <c r="AN249">
        <v>42</v>
      </c>
      <c r="AO249" s="3">
        <v>0</v>
      </c>
      <c r="AQ249">
        <v>261</v>
      </c>
      <c r="AR249">
        <f>(Table2[[#This Row],[Tx_Arm_Patinet_Withdrawal_Consent]]+Table2[[#This Row],[Tx_am_lost_fu]]+Table2[[#This Row],[Tx_arm_noncomp]])/Table2[[#This Row],[Tx_arm_randomized_to_tx]]</f>
        <v>0.16091954022988506</v>
      </c>
      <c r="AS249">
        <v>22</v>
      </c>
      <c r="AV249">
        <v>262</v>
      </c>
      <c r="AW249">
        <f>(Table2[[#This Row],[Cr_arm_patient_withdrawal_consent]]+Table2[[#This Row],[Cr_arm_lost_fu]]+Table2[[#This Row],[Cr_am_noncomp]])/Table2[[#This Row],[Cr_am_total_randomized+patients]]</f>
        <v>8.3969465648854963E-2</v>
      </c>
      <c r="AX249">
        <v>0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54</v>
      </c>
      <c r="BI249" t="s">
        <v>54</v>
      </c>
    </row>
    <row r="250" spans="1:61" x14ac:dyDescent="0.2">
      <c r="A250" t="s">
        <v>143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48</v>
      </c>
      <c r="N250">
        <v>1</v>
      </c>
      <c r="O250">
        <v>2.9777777777777779</v>
      </c>
      <c r="P250" t="s">
        <v>56</v>
      </c>
      <c r="Q250" t="s">
        <v>56</v>
      </c>
      <c r="R250">
        <v>2</v>
      </c>
      <c r="S250">
        <v>0</v>
      </c>
      <c r="T250" t="s">
        <v>51</v>
      </c>
      <c r="U250" t="s">
        <v>52</v>
      </c>
      <c r="V250" t="s">
        <v>53</v>
      </c>
      <c r="W250">
        <v>1487</v>
      </c>
      <c r="X250">
        <v>254</v>
      </c>
      <c r="Y250">
        <v>0.17081371889710828</v>
      </c>
      <c r="Z250">
        <v>122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</v>
      </c>
      <c r="AG250">
        <v>98</v>
      </c>
      <c r="AH250">
        <v>20</v>
      </c>
      <c r="AJ250">
        <v>10</v>
      </c>
      <c r="AK250">
        <v>0</v>
      </c>
      <c r="AL250">
        <v>9.8184263618022863E-2</v>
      </c>
      <c r="AN250">
        <v>72</v>
      </c>
      <c r="AO250" s="3">
        <v>0</v>
      </c>
      <c r="AQ250">
        <v>743</v>
      </c>
      <c r="AR250">
        <f>(Table2[[#This Row],[Tx_Arm_Patinet_Withdrawal_Consent]]+Table2[[#This Row],[Tx_am_lost_fu]]+Table2[[#This Row],[Tx_arm_noncomp]])/Table2[[#This Row],[Tx_arm_randomized_to_tx]]</f>
        <v>9.6904441453566623E-2</v>
      </c>
      <c r="AS250">
        <v>50</v>
      </c>
      <c r="AV250">
        <v>743</v>
      </c>
      <c r="AW250">
        <f>(Table2[[#This Row],[Cr_arm_patient_withdrawal_consent]]+Table2[[#This Row],[Cr_arm_lost_fu]]+Table2[[#This Row],[Cr_am_noncomp]])/Table2[[#This Row],[Cr_am_total_randomized+patients]]</f>
        <v>6.7294751009421269E-2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0</v>
      </c>
      <c r="BG250">
        <v>0</v>
      </c>
      <c r="BH250" t="s">
        <v>54</v>
      </c>
      <c r="BI250" t="s">
        <v>54</v>
      </c>
    </row>
    <row r="251" spans="1:61" x14ac:dyDescent="0.2">
      <c r="A251" t="s">
        <v>235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 t="s">
        <v>48</v>
      </c>
      <c r="N251">
        <v>1</v>
      </c>
      <c r="O251" t="s">
        <v>49</v>
      </c>
      <c r="P251" t="s">
        <v>56</v>
      </c>
      <c r="Q251" t="s">
        <v>56</v>
      </c>
      <c r="R251">
        <v>2</v>
      </c>
      <c r="S251">
        <v>0</v>
      </c>
      <c r="T251" t="s">
        <v>51</v>
      </c>
      <c r="U251" t="s">
        <v>52</v>
      </c>
      <c r="V251" t="s">
        <v>53</v>
      </c>
      <c r="W251">
        <v>472</v>
      </c>
      <c r="X251">
        <v>401</v>
      </c>
      <c r="Y251">
        <v>0.84957627118644063</v>
      </c>
      <c r="Z251">
        <v>22</v>
      </c>
      <c r="AA251">
        <v>40</v>
      </c>
      <c r="AB251">
        <v>323</v>
      </c>
      <c r="AC251">
        <v>0</v>
      </c>
      <c r="AD251">
        <v>0</v>
      </c>
      <c r="AE251">
        <v>0</v>
      </c>
      <c r="AF251">
        <v>6</v>
      </c>
      <c r="AG251">
        <v>3</v>
      </c>
      <c r="AH251">
        <v>0</v>
      </c>
      <c r="AJ251">
        <v>7</v>
      </c>
      <c r="AK251">
        <v>0</v>
      </c>
      <c r="AL251">
        <v>5.9322033898305086E-2</v>
      </c>
      <c r="AN251">
        <v>9</v>
      </c>
      <c r="AO251" s="3">
        <v>0</v>
      </c>
      <c r="AQ251">
        <v>238</v>
      </c>
      <c r="AR251">
        <f>(Table2[[#This Row],[Tx_Arm_Patinet_Withdrawal_Consent]]+Table2[[#This Row],[Tx_am_lost_fu]]+Table2[[#This Row],[Tx_arm_noncomp]])/Table2[[#This Row],[Tx_arm_randomized_to_tx]]</f>
        <v>3.7815126050420166E-2</v>
      </c>
      <c r="AS251">
        <v>13</v>
      </c>
      <c r="AV251">
        <v>234</v>
      </c>
      <c r="AW251">
        <f>(Table2[[#This Row],[Cr_arm_patient_withdrawal_consent]]+Table2[[#This Row],[Cr_arm_lost_fu]]+Table2[[#This Row],[Cr_am_noncomp]])/Table2[[#This Row],[Cr_am_total_randomized+patients]]</f>
        <v>5.5555555555555552E-2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54</v>
      </c>
      <c r="BI251" t="s">
        <v>54</v>
      </c>
    </row>
    <row r="252" spans="1:61" x14ac:dyDescent="0.2">
      <c r="A252" t="s">
        <v>279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 t="s">
        <v>48</v>
      </c>
      <c r="N252">
        <v>1</v>
      </c>
      <c r="O252">
        <v>4.5944444444444441</v>
      </c>
      <c r="P252" t="s">
        <v>61</v>
      </c>
      <c r="Q252" t="s">
        <v>56</v>
      </c>
      <c r="R252">
        <v>3</v>
      </c>
      <c r="S252">
        <v>0</v>
      </c>
      <c r="T252" t="s">
        <v>51</v>
      </c>
      <c r="U252" t="s">
        <v>52</v>
      </c>
      <c r="V252" t="s">
        <v>53</v>
      </c>
      <c r="W252">
        <v>383</v>
      </c>
      <c r="X252">
        <v>376</v>
      </c>
      <c r="Y252">
        <v>0.98172323759791125</v>
      </c>
      <c r="Z252">
        <v>16</v>
      </c>
      <c r="AA252">
        <v>45</v>
      </c>
      <c r="AB252">
        <v>288</v>
      </c>
      <c r="AC252">
        <v>0</v>
      </c>
      <c r="AD252">
        <v>0</v>
      </c>
      <c r="AE252">
        <v>0</v>
      </c>
      <c r="AF252">
        <v>0</v>
      </c>
      <c r="AG252">
        <v>22</v>
      </c>
      <c r="AH252">
        <v>0</v>
      </c>
      <c r="AJ252">
        <v>5</v>
      </c>
      <c r="AK252">
        <v>0</v>
      </c>
      <c r="AL252">
        <v>4.1775456919060053E-2</v>
      </c>
      <c r="AN252">
        <v>12</v>
      </c>
      <c r="AO252" s="3">
        <v>0</v>
      </c>
      <c r="AQ252">
        <v>226</v>
      </c>
      <c r="AR252">
        <f>(Table2[[#This Row],[Tx_Arm_Patinet_Withdrawal_Consent]]+Table2[[#This Row],[Tx_am_lost_fu]]+Table2[[#This Row],[Tx_arm_noncomp]])/Table2[[#This Row],[Tx_arm_randomized_to_tx]]</f>
        <v>5.3097345132743362E-2</v>
      </c>
      <c r="AS252">
        <v>4</v>
      </c>
      <c r="AV252">
        <v>340</v>
      </c>
      <c r="AW252">
        <f>(Table2[[#This Row],[Cr_arm_patient_withdrawal_consent]]+Table2[[#This Row],[Cr_arm_lost_fu]]+Table2[[#This Row],[Cr_am_noncomp]])/Table2[[#This Row],[Cr_am_total_randomized+patients]]</f>
        <v>1.1764705882352941E-2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54</v>
      </c>
      <c r="BI252" t="s">
        <v>54</v>
      </c>
    </row>
    <row r="253" spans="1:61" x14ac:dyDescent="0.2">
      <c r="A253" t="s">
        <v>360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 t="s">
        <v>48</v>
      </c>
      <c r="N253">
        <v>1</v>
      </c>
      <c r="O253">
        <v>7.2305555555555552</v>
      </c>
      <c r="P253" t="s">
        <v>61</v>
      </c>
      <c r="Q253" t="s">
        <v>56</v>
      </c>
      <c r="R253">
        <v>1</v>
      </c>
      <c r="S253">
        <v>1</v>
      </c>
      <c r="T253" t="s">
        <v>51</v>
      </c>
      <c r="U253" t="s">
        <v>52</v>
      </c>
      <c r="V253" t="s">
        <v>53</v>
      </c>
      <c r="W253">
        <v>239</v>
      </c>
      <c r="X253">
        <v>16</v>
      </c>
      <c r="Y253">
        <v>6.6945606694560664E-2</v>
      </c>
      <c r="Z253">
        <v>4</v>
      </c>
      <c r="AA253">
        <v>4</v>
      </c>
      <c r="AB253">
        <v>0</v>
      </c>
      <c r="AC253">
        <v>0</v>
      </c>
      <c r="AD253">
        <v>1</v>
      </c>
      <c r="AE253">
        <v>6</v>
      </c>
      <c r="AF253">
        <v>0</v>
      </c>
      <c r="AG253">
        <v>1</v>
      </c>
      <c r="AH253">
        <v>0</v>
      </c>
      <c r="AJ253">
        <v>0</v>
      </c>
      <c r="AK253">
        <v>0</v>
      </c>
      <c r="AL253">
        <v>1.6736401673640166E-2</v>
      </c>
      <c r="AN253">
        <v>3</v>
      </c>
      <c r="AO253" s="3">
        <v>0</v>
      </c>
      <c r="AQ253">
        <v>119</v>
      </c>
      <c r="AR253">
        <f>(Table2[[#This Row],[Tx_Arm_Patinet_Withdrawal_Consent]]+Table2[[#This Row],[Tx_am_lost_fu]]+Table2[[#This Row],[Tx_arm_noncomp]])/Table2[[#This Row],[Tx_arm_randomized_to_tx]]</f>
        <v>2.5210084033613446E-2</v>
      </c>
      <c r="AS253">
        <v>1</v>
      </c>
      <c r="AV253">
        <v>120</v>
      </c>
      <c r="AW253">
        <f>(Table2[[#This Row],[Cr_arm_patient_withdrawal_consent]]+Table2[[#This Row],[Cr_arm_lost_fu]]+Table2[[#This Row],[Cr_am_noncomp]])/Table2[[#This Row],[Cr_am_total_randomized+patients]]</f>
        <v>8.3333333333333332E-3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54</v>
      </c>
      <c r="BI253" t="s">
        <v>54</v>
      </c>
    </row>
    <row r="254" spans="1:61" x14ac:dyDescent="0.2">
      <c r="A254" t="s">
        <v>102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 t="s">
        <v>48</v>
      </c>
      <c r="N254">
        <v>1</v>
      </c>
      <c r="O254">
        <v>5.4944444444444436</v>
      </c>
      <c r="P254" t="s">
        <v>50</v>
      </c>
      <c r="Q254" t="s">
        <v>50</v>
      </c>
      <c r="R254">
        <v>1</v>
      </c>
      <c r="S254">
        <v>1</v>
      </c>
      <c r="T254" t="s">
        <v>51</v>
      </c>
      <c r="U254" t="s">
        <v>52</v>
      </c>
      <c r="V254" t="s">
        <v>53</v>
      </c>
      <c r="W254">
        <v>559</v>
      </c>
      <c r="X254">
        <v>559</v>
      </c>
      <c r="Y254">
        <v>1</v>
      </c>
      <c r="Z254">
        <v>51</v>
      </c>
      <c r="AA254">
        <v>91</v>
      </c>
      <c r="AB254">
        <v>334</v>
      </c>
      <c r="AC254">
        <v>1</v>
      </c>
      <c r="AD254">
        <v>0</v>
      </c>
      <c r="AE254">
        <v>1</v>
      </c>
      <c r="AF254">
        <v>1</v>
      </c>
      <c r="AG254">
        <v>30</v>
      </c>
      <c r="AH254">
        <v>3</v>
      </c>
      <c r="AJ254">
        <v>47</v>
      </c>
      <c r="AK254">
        <v>0</v>
      </c>
      <c r="AL254">
        <v>9.838998211091235E-2</v>
      </c>
      <c r="AN254">
        <v>10</v>
      </c>
      <c r="AO254" s="3">
        <v>0</v>
      </c>
      <c r="AQ254">
        <v>281</v>
      </c>
      <c r="AR254">
        <f>(Table2[[#This Row],[Tx_Arm_Patinet_Withdrawal_Consent]]+Table2[[#This Row],[Tx_am_lost_fu]]+Table2[[#This Row],[Tx_arm_noncomp]])/Table2[[#This Row],[Tx_arm_randomized_to_tx]]</f>
        <v>3.5587188612099648E-2</v>
      </c>
      <c r="AS254">
        <v>17</v>
      </c>
      <c r="AV254">
        <v>278</v>
      </c>
      <c r="AW254">
        <f>(Table2[[#This Row],[Cr_arm_patient_withdrawal_consent]]+Table2[[#This Row],[Cr_arm_lost_fu]]+Table2[[#This Row],[Cr_am_noncomp]])/Table2[[#This Row],[Cr_am_total_randomized+patients]]</f>
        <v>6.1151079136690649E-2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54</v>
      </c>
      <c r="BI254" t="s">
        <v>63</v>
      </c>
    </row>
    <row r="255" spans="1:61" x14ac:dyDescent="0.2">
      <c r="A255" t="s">
        <v>148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 t="s">
        <v>48</v>
      </c>
      <c r="N255">
        <v>1</v>
      </c>
      <c r="O255">
        <v>0.72499999999999998</v>
      </c>
      <c r="P255" t="s">
        <v>56</v>
      </c>
      <c r="Q255" t="s">
        <v>56</v>
      </c>
      <c r="R255">
        <v>2</v>
      </c>
      <c r="S255">
        <v>0</v>
      </c>
      <c r="T255" t="s">
        <v>51</v>
      </c>
      <c r="U255" t="s">
        <v>52</v>
      </c>
      <c r="V255" t="s">
        <v>53</v>
      </c>
      <c r="W255">
        <v>372</v>
      </c>
      <c r="X255">
        <v>197</v>
      </c>
      <c r="Y255">
        <v>0.52956989247311825</v>
      </c>
      <c r="Z255">
        <v>33</v>
      </c>
      <c r="AA255">
        <v>33</v>
      </c>
      <c r="AB255">
        <v>116</v>
      </c>
      <c r="AC255">
        <v>0</v>
      </c>
      <c r="AD255">
        <v>0</v>
      </c>
      <c r="AE255">
        <v>9</v>
      </c>
      <c r="AF255">
        <v>1</v>
      </c>
      <c r="AG255">
        <v>4</v>
      </c>
      <c r="AH255">
        <v>1</v>
      </c>
      <c r="AJ255">
        <v>0</v>
      </c>
      <c r="AK255">
        <v>0</v>
      </c>
      <c r="AL255">
        <v>9.4086021505376344E-2</v>
      </c>
      <c r="AN255">
        <v>19</v>
      </c>
      <c r="AO255" s="3">
        <v>0</v>
      </c>
      <c r="AQ255">
        <v>186</v>
      </c>
      <c r="AR255">
        <f>(Table2[[#This Row],[Tx_Arm_Patinet_Withdrawal_Consent]]+Table2[[#This Row],[Tx_am_lost_fu]]+Table2[[#This Row],[Tx_arm_noncomp]])/Table2[[#This Row],[Tx_arm_randomized_to_tx]]</f>
        <v>0.10215053763440861</v>
      </c>
      <c r="AS255">
        <v>14</v>
      </c>
      <c r="AV255">
        <v>186</v>
      </c>
      <c r="AW255">
        <f>(Table2[[#This Row],[Cr_arm_patient_withdrawal_consent]]+Table2[[#This Row],[Cr_arm_lost_fu]]+Table2[[#This Row],[Cr_am_noncomp]])/Table2[[#This Row],[Cr_am_total_randomized+patients]]</f>
        <v>7.5268817204301078E-2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54</v>
      </c>
      <c r="BI255" t="s">
        <v>63</v>
      </c>
    </row>
    <row r="256" spans="1:61" x14ac:dyDescent="0.2">
      <c r="A256" s="5" t="s">
        <v>315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 t="s">
        <v>69</v>
      </c>
      <c r="N256">
        <v>0</v>
      </c>
      <c r="O256">
        <v>7.0972222222222223</v>
      </c>
      <c r="P256" t="s">
        <v>61</v>
      </c>
      <c r="Q256" t="s">
        <v>50</v>
      </c>
      <c r="R256">
        <v>1</v>
      </c>
      <c r="S256">
        <v>1</v>
      </c>
      <c r="T256" t="s">
        <v>51</v>
      </c>
      <c r="U256" t="s">
        <v>52</v>
      </c>
      <c r="V256" t="s">
        <v>53</v>
      </c>
      <c r="W256">
        <v>682</v>
      </c>
      <c r="X256">
        <v>682</v>
      </c>
      <c r="Y256">
        <v>1</v>
      </c>
      <c r="Z256">
        <v>21</v>
      </c>
      <c r="AA256">
        <v>52</v>
      </c>
      <c r="AB256">
        <v>504</v>
      </c>
      <c r="AC256">
        <v>0</v>
      </c>
      <c r="AD256">
        <v>8</v>
      </c>
      <c r="AE256">
        <v>0</v>
      </c>
      <c r="AF256">
        <v>0</v>
      </c>
      <c r="AG256">
        <v>57</v>
      </c>
      <c r="AH256">
        <v>1</v>
      </c>
      <c r="AJ256">
        <v>39</v>
      </c>
      <c r="AK256">
        <v>0</v>
      </c>
      <c r="AL256">
        <v>3.2258064516129031E-2</v>
      </c>
      <c r="AM256" t="s">
        <v>384</v>
      </c>
      <c r="AN256">
        <v>21</v>
      </c>
      <c r="AQ256">
        <v>682</v>
      </c>
      <c r="AR256" s="8">
        <f>(Table2[[#This Row],[Tx_Arm_Patinet_Withdrawal_Consent]]+Table2[[#This Row],[Tx_am_lost_fu]]+Table2[[#This Row],[Tx_arm_noncomp]])/Table2[[#This Row],[Tx_arm_randomized_to_tx]]</f>
        <v>3.0791788856304986E-2</v>
      </c>
      <c r="AS256" t="s">
        <v>373</v>
      </c>
      <c r="AT256" t="s">
        <v>373</v>
      </c>
      <c r="AU256" t="s">
        <v>373</v>
      </c>
      <c r="AV256" t="s">
        <v>373</v>
      </c>
      <c r="AW256" s="8" t="e">
        <f>(Table2[[#This Row],[Cr_arm_patient_withdrawal_consent]]+Table2[[#This Row],[Cr_arm_lost_fu]]+Table2[[#This Row],[Cr_am_noncomp]])/Table2[[#This Row],[Cr_am_total_randomized+patients]]</f>
        <v>#VALUE!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54</v>
      </c>
      <c r="BI256" t="s">
        <v>54</v>
      </c>
    </row>
    <row r="257" spans="1:61" x14ac:dyDescent="0.2">
      <c r="A257" t="s">
        <v>271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60</v>
      </c>
      <c r="N257">
        <v>0</v>
      </c>
      <c r="O257">
        <v>7.677777777777778</v>
      </c>
      <c r="P257" t="s">
        <v>61</v>
      </c>
      <c r="Q257" t="s">
        <v>56</v>
      </c>
      <c r="R257">
        <v>3</v>
      </c>
      <c r="S257">
        <v>0</v>
      </c>
      <c r="T257" t="s">
        <v>51</v>
      </c>
      <c r="U257" t="s">
        <v>52</v>
      </c>
      <c r="V257" t="s">
        <v>53</v>
      </c>
      <c r="W257">
        <v>2185</v>
      </c>
      <c r="X257">
        <v>1626</v>
      </c>
      <c r="Y257">
        <v>0.74416475972540042</v>
      </c>
      <c r="Z257">
        <v>206</v>
      </c>
      <c r="AA257">
        <v>4</v>
      </c>
      <c r="AB257">
        <v>3</v>
      </c>
      <c r="AC257">
        <v>0</v>
      </c>
      <c r="AD257">
        <v>0</v>
      </c>
      <c r="AE257">
        <v>71</v>
      </c>
      <c r="AF257">
        <v>5</v>
      </c>
      <c r="AG257">
        <v>1143</v>
      </c>
      <c r="AH257">
        <v>154</v>
      </c>
      <c r="AJ257">
        <v>36</v>
      </c>
      <c r="AK257">
        <v>4</v>
      </c>
      <c r="AL257">
        <v>0.16704805491990846</v>
      </c>
      <c r="AN257">
        <v>95</v>
      </c>
      <c r="AO257" s="3">
        <v>0</v>
      </c>
      <c r="AQ257">
        <v>2185</v>
      </c>
      <c r="AR257">
        <f>(Table2[[#This Row],[Tx_Arm_Patinet_Withdrawal_Consent]]+Table2[[#This Row],[Tx_am_lost_fu]]+Table2[[#This Row],[Tx_arm_noncomp]])/Table2[[#This Row],[Tx_arm_randomized_to_tx]]</f>
        <v>4.3478260869565216E-2</v>
      </c>
      <c r="AS257" t="s">
        <v>373</v>
      </c>
      <c r="AT257" t="s">
        <v>373</v>
      </c>
      <c r="AU257" t="s">
        <v>373</v>
      </c>
      <c r="AV257" t="s">
        <v>373</v>
      </c>
      <c r="AW257" t="e">
        <f>(Table2[[#This Row],[Cr_arm_patient_withdrawal_consent]]+Table2[[#This Row],[Cr_arm_lost_fu]]+Table2[[#This Row],[Cr_am_noncomp]])/Table2[[#This Row],[Cr_am_total_randomized+patients]]</f>
        <v>#VALUE!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54</v>
      </c>
      <c r="BI257" t="s">
        <v>57</v>
      </c>
    </row>
    <row r="258" spans="1:61" x14ac:dyDescent="0.2">
      <c r="A258" t="s">
        <v>162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 t="s">
        <v>48</v>
      </c>
      <c r="N258">
        <v>1</v>
      </c>
      <c r="O258">
        <v>6.5361111111111114</v>
      </c>
      <c r="P258" t="s">
        <v>56</v>
      </c>
      <c r="Q258" t="s">
        <v>50</v>
      </c>
      <c r="R258">
        <v>1</v>
      </c>
      <c r="S258">
        <v>1</v>
      </c>
      <c r="T258" t="s">
        <v>51</v>
      </c>
      <c r="U258" t="s">
        <v>52</v>
      </c>
      <c r="V258" t="s">
        <v>53</v>
      </c>
      <c r="W258">
        <v>495</v>
      </c>
      <c r="X258">
        <v>45</v>
      </c>
      <c r="Y258">
        <v>9.0909090909090912E-2</v>
      </c>
      <c r="Z258">
        <v>34</v>
      </c>
      <c r="AA258">
        <v>0</v>
      </c>
      <c r="AB258">
        <v>0</v>
      </c>
      <c r="AC258">
        <v>0</v>
      </c>
      <c r="AD258">
        <v>0</v>
      </c>
      <c r="AE258">
        <v>3</v>
      </c>
      <c r="AF258">
        <v>0</v>
      </c>
      <c r="AG258">
        <v>0</v>
      </c>
      <c r="AH258">
        <v>8</v>
      </c>
      <c r="AJ258">
        <v>0</v>
      </c>
      <c r="AK258">
        <v>0</v>
      </c>
      <c r="AL258">
        <v>8.4848484848484854E-2</v>
      </c>
      <c r="AN258">
        <v>17</v>
      </c>
      <c r="AO258" s="3">
        <v>0</v>
      </c>
      <c r="AP258">
        <v>3</v>
      </c>
      <c r="AQ258">
        <v>247</v>
      </c>
      <c r="AR258">
        <f>(Table2[[#This Row],[Tx_Arm_Patinet_Withdrawal_Consent]]+Table2[[#This Row],[Tx_am_lost_fu]]+Table2[[#This Row],[Tx_arm_noncomp]])/Table2[[#This Row],[Tx_arm_randomized_to_tx]]</f>
        <v>8.0971659919028341E-2</v>
      </c>
      <c r="AS258">
        <v>17</v>
      </c>
      <c r="AT258">
        <v>6</v>
      </c>
      <c r="AV258">
        <v>248</v>
      </c>
      <c r="AW258">
        <f>(Table2[[#This Row],[Cr_arm_patient_withdrawal_consent]]+Table2[[#This Row],[Cr_arm_lost_fu]]+Table2[[#This Row],[Cr_am_noncomp]])/Table2[[#This Row],[Cr_am_total_randomized+patients]]</f>
        <v>9.2741935483870969E-2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54</v>
      </c>
      <c r="BI258" t="s">
        <v>57</v>
      </c>
    </row>
    <row r="259" spans="1:61" x14ac:dyDescent="0.2">
      <c r="A259" t="s">
        <v>113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48</v>
      </c>
      <c r="N259">
        <v>1</v>
      </c>
      <c r="O259" t="s">
        <v>49</v>
      </c>
      <c r="P259" t="s">
        <v>50</v>
      </c>
      <c r="Q259" t="s">
        <v>50</v>
      </c>
      <c r="R259">
        <v>3</v>
      </c>
      <c r="S259">
        <v>0</v>
      </c>
      <c r="T259" t="s">
        <v>51</v>
      </c>
      <c r="U259" t="s">
        <v>52</v>
      </c>
      <c r="V259" t="s">
        <v>53</v>
      </c>
      <c r="W259">
        <v>870</v>
      </c>
      <c r="X259">
        <v>262</v>
      </c>
      <c r="Y259">
        <v>0.30114942528735633</v>
      </c>
      <c r="Z259">
        <v>71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9</v>
      </c>
      <c r="AG259">
        <v>153</v>
      </c>
      <c r="AH259">
        <v>29</v>
      </c>
      <c r="AJ259">
        <v>0</v>
      </c>
      <c r="AK259">
        <v>0</v>
      </c>
      <c r="AL259">
        <v>0.12528735632183907</v>
      </c>
      <c r="AN259">
        <v>31</v>
      </c>
      <c r="AO259" s="3">
        <v>0</v>
      </c>
      <c r="AQ259">
        <v>438</v>
      </c>
      <c r="AR259">
        <f>(Table2[[#This Row],[Tx_Arm_Patinet_Withdrawal_Consent]]+Table2[[#This Row],[Tx_am_lost_fu]]+Table2[[#This Row],[Tx_arm_noncomp]])/Table2[[#This Row],[Tx_arm_randomized_to_tx]]</f>
        <v>7.0776255707762553E-2</v>
      </c>
      <c r="AS259">
        <v>40</v>
      </c>
      <c r="AV259">
        <v>432</v>
      </c>
      <c r="AW259">
        <f>(Table2[[#This Row],[Cr_arm_patient_withdrawal_consent]]+Table2[[#This Row],[Cr_arm_lost_fu]]+Table2[[#This Row],[Cr_am_noncomp]])/Table2[[#This Row],[Cr_am_total_randomized+patients]]</f>
        <v>9.2592592592592587E-2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0</v>
      </c>
      <c r="BG259">
        <v>0</v>
      </c>
      <c r="BH259" t="s">
        <v>54</v>
      </c>
      <c r="BI259" t="s">
        <v>63</v>
      </c>
    </row>
    <row r="260" spans="1:61" x14ac:dyDescent="0.2">
      <c r="A260" t="s">
        <v>311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 t="s">
        <v>60</v>
      </c>
      <c r="N260">
        <v>0</v>
      </c>
      <c r="O260">
        <v>5.6305555555555564</v>
      </c>
      <c r="P260" t="s">
        <v>61</v>
      </c>
      <c r="Q260" t="s">
        <v>56</v>
      </c>
      <c r="R260">
        <v>2</v>
      </c>
      <c r="S260">
        <v>0</v>
      </c>
      <c r="T260" t="s">
        <v>51</v>
      </c>
      <c r="U260" t="s">
        <v>52</v>
      </c>
      <c r="V260" t="s">
        <v>53</v>
      </c>
      <c r="W260">
        <v>30</v>
      </c>
      <c r="X260">
        <v>3</v>
      </c>
      <c r="Y260">
        <v>0.1</v>
      </c>
      <c r="Z260">
        <v>0</v>
      </c>
      <c r="AA260">
        <v>1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J260">
        <v>0</v>
      </c>
      <c r="AK260">
        <v>0</v>
      </c>
      <c r="AL260">
        <v>3.3333333333333333E-2</v>
      </c>
      <c r="AN260">
        <v>0</v>
      </c>
      <c r="AO260" s="3">
        <v>1</v>
      </c>
      <c r="AQ260">
        <v>30</v>
      </c>
      <c r="AR260">
        <f>(Table2[[#This Row],[Tx_Arm_Patinet_Withdrawal_Consent]]+Table2[[#This Row],[Tx_am_lost_fu]]+Table2[[#This Row],[Tx_arm_noncomp]])/Table2[[#This Row],[Tx_arm_randomized_to_tx]]</f>
        <v>3.3333333333333333E-2</v>
      </c>
      <c r="AS260" t="s">
        <v>373</v>
      </c>
      <c r="AT260" t="s">
        <v>373</v>
      </c>
      <c r="AU260" t="s">
        <v>373</v>
      </c>
      <c r="AV260" t="s">
        <v>373</v>
      </c>
      <c r="AW260" t="e">
        <f>(Table2[[#This Row],[Cr_arm_patient_withdrawal_consent]]+Table2[[#This Row],[Cr_arm_lost_fu]]+Table2[[#This Row],[Cr_am_noncomp]])/Table2[[#This Row],[Cr_am_total_randomized+patients]]</f>
        <v>#VALUE!</v>
      </c>
      <c r="AX260">
        <v>0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54</v>
      </c>
      <c r="BI260" t="s">
        <v>54</v>
      </c>
    </row>
    <row r="261" spans="1:61" x14ac:dyDescent="0.2">
      <c r="A261" t="s">
        <v>226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48</v>
      </c>
      <c r="N261">
        <v>1</v>
      </c>
      <c r="O261">
        <v>5.802777777777778</v>
      </c>
      <c r="P261" t="s">
        <v>61</v>
      </c>
      <c r="Q261" t="s">
        <v>56</v>
      </c>
      <c r="R261">
        <v>2</v>
      </c>
      <c r="S261">
        <v>0</v>
      </c>
      <c r="T261" t="s">
        <v>51</v>
      </c>
      <c r="U261" t="s">
        <v>52</v>
      </c>
      <c r="V261" t="s">
        <v>53</v>
      </c>
      <c r="W261">
        <v>498</v>
      </c>
      <c r="X261">
        <v>206</v>
      </c>
      <c r="Y261">
        <v>0.41365461847389556</v>
      </c>
      <c r="Z261">
        <v>21</v>
      </c>
      <c r="AA261">
        <v>52</v>
      </c>
      <c r="AB261">
        <v>113</v>
      </c>
      <c r="AC261">
        <v>0</v>
      </c>
      <c r="AD261">
        <v>0</v>
      </c>
      <c r="AE261">
        <v>3</v>
      </c>
      <c r="AF261">
        <v>10</v>
      </c>
      <c r="AG261">
        <v>0</v>
      </c>
      <c r="AH261">
        <v>0</v>
      </c>
      <c r="AJ261">
        <v>7</v>
      </c>
      <c r="AK261">
        <v>0</v>
      </c>
      <c r="AL261">
        <v>6.224899598393574E-2</v>
      </c>
      <c r="AN261">
        <v>14</v>
      </c>
      <c r="AO261" s="3">
        <v>0</v>
      </c>
      <c r="AP261">
        <v>6</v>
      </c>
      <c r="AQ261">
        <v>250</v>
      </c>
      <c r="AR261">
        <f>(Table2[[#This Row],[Tx_Arm_Patinet_Withdrawal_Consent]]+Table2[[#This Row],[Tx_am_lost_fu]]+Table2[[#This Row],[Tx_arm_noncomp]])/Table2[[#This Row],[Tx_arm_randomized_to_tx]]</f>
        <v>0.08</v>
      </c>
      <c r="AS261">
        <v>7</v>
      </c>
      <c r="AT261">
        <v>0</v>
      </c>
      <c r="AU261">
        <v>4</v>
      </c>
      <c r="AV261">
        <v>248</v>
      </c>
      <c r="AW261">
        <f>(Table2[[#This Row],[Cr_arm_patient_withdrawal_consent]]+Table2[[#This Row],[Cr_arm_lost_fu]]+Table2[[#This Row],[Cr_am_noncomp]])/Table2[[#This Row],[Cr_am_total_randomized+patients]]</f>
        <v>4.4354838709677422E-2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54</v>
      </c>
      <c r="BI261" t="s">
        <v>54</v>
      </c>
    </row>
    <row r="262" spans="1:61" x14ac:dyDescent="0.2">
      <c r="A262" t="s">
        <v>137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 t="s">
        <v>48</v>
      </c>
      <c r="N262">
        <v>1</v>
      </c>
      <c r="O262">
        <v>0.34444444444444439</v>
      </c>
      <c r="P262" t="s">
        <v>56</v>
      </c>
      <c r="Q262" t="s">
        <v>56</v>
      </c>
      <c r="R262">
        <v>2</v>
      </c>
      <c r="S262">
        <v>1</v>
      </c>
      <c r="T262" t="s">
        <v>51</v>
      </c>
      <c r="U262" t="s">
        <v>52</v>
      </c>
      <c r="V262" t="s">
        <v>53</v>
      </c>
      <c r="W262">
        <v>397</v>
      </c>
      <c r="X262">
        <v>382</v>
      </c>
      <c r="Y262">
        <v>0.96221662468513858</v>
      </c>
      <c r="Z262">
        <v>25</v>
      </c>
      <c r="AA262">
        <v>46</v>
      </c>
      <c r="AB262">
        <v>226</v>
      </c>
      <c r="AC262">
        <v>9</v>
      </c>
      <c r="AD262">
        <v>0</v>
      </c>
      <c r="AE262">
        <v>0</v>
      </c>
      <c r="AF262">
        <v>15</v>
      </c>
      <c r="AG262">
        <v>29</v>
      </c>
      <c r="AH262">
        <v>2</v>
      </c>
      <c r="AJ262">
        <v>30</v>
      </c>
      <c r="AK262">
        <v>0</v>
      </c>
      <c r="AL262">
        <v>0.10579345088161209</v>
      </c>
      <c r="AN262">
        <v>5</v>
      </c>
      <c r="AO262" s="3">
        <v>0</v>
      </c>
      <c r="AQ262">
        <v>266</v>
      </c>
      <c r="AR262">
        <f>(Table2[[#This Row],[Tx_Arm_Patinet_Withdrawal_Consent]]+Table2[[#This Row],[Tx_am_lost_fu]]+Table2[[#This Row],[Tx_arm_noncomp]])/Table2[[#This Row],[Tx_arm_randomized_to_tx]]</f>
        <v>1.8796992481203006E-2</v>
      </c>
      <c r="AS262">
        <v>20</v>
      </c>
      <c r="AV262">
        <v>134</v>
      </c>
      <c r="AW262">
        <f>(Table2[[#This Row],[Cr_arm_patient_withdrawal_consent]]+Table2[[#This Row],[Cr_arm_lost_fu]]+Table2[[#This Row],[Cr_am_noncomp]])/Table2[[#This Row],[Cr_am_total_randomized+patients]]</f>
        <v>0.14925373134328357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 t="s">
        <v>54</v>
      </c>
      <c r="BI262" t="s">
        <v>54</v>
      </c>
    </row>
    <row r="263" spans="1:61" x14ac:dyDescent="0.2">
      <c r="A263" s="5" t="s">
        <v>212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 t="s">
        <v>48</v>
      </c>
      <c r="N263">
        <v>1</v>
      </c>
      <c r="O263">
        <v>0.65277777777777779</v>
      </c>
      <c r="P263" t="s">
        <v>50</v>
      </c>
      <c r="Q263" t="s">
        <v>50</v>
      </c>
      <c r="R263">
        <v>2</v>
      </c>
      <c r="S263">
        <v>0</v>
      </c>
      <c r="T263" t="s">
        <v>51</v>
      </c>
      <c r="U263" t="s">
        <v>52</v>
      </c>
      <c r="V263" t="s">
        <v>53</v>
      </c>
      <c r="W263">
        <v>578</v>
      </c>
      <c r="X263">
        <v>578</v>
      </c>
      <c r="Y263">
        <v>1</v>
      </c>
      <c r="Z263">
        <v>36</v>
      </c>
      <c r="AA263">
        <v>92</v>
      </c>
      <c r="AB263">
        <v>203</v>
      </c>
      <c r="AC263">
        <v>0</v>
      </c>
      <c r="AD263">
        <v>0</v>
      </c>
      <c r="AE263">
        <v>220</v>
      </c>
      <c r="AF263">
        <v>0</v>
      </c>
      <c r="AG263">
        <v>25</v>
      </c>
      <c r="AH263">
        <v>2</v>
      </c>
      <c r="AJ263">
        <v>0</v>
      </c>
      <c r="AK263">
        <v>0</v>
      </c>
      <c r="AL263">
        <v>6.5743944636678195E-2</v>
      </c>
      <c r="AM263" t="s">
        <v>385</v>
      </c>
      <c r="AN263">
        <v>23</v>
      </c>
      <c r="AQ263">
        <v>289</v>
      </c>
      <c r="AR263" s="8">
        <f>(Table2[[#This Row],[Tx_Arm_Patinet_Withdrawal_Consent]]+Table2[[#This Row],[Tx_am_lost_fu]]+Table2[[#This Row],[Tx_arm_noncomp]])/Table2[[#This Row],[Tx_arm_randomized_to_tx]]</f>
        <v>7.9584775086505188E-2</v>
      </c>
      <c r="AS263">
        <v>13</v>
      </c>
      <c r="AV263">
        <v>289</v>
      </c>
      <c r="AW263" s="8">
        <f>(Table2[[#This Row],[Cr_arm_patient_withdrawal_consent]]+Table2[[#This Row],[Cr_arm_lost_fu]]+Table2[[#This Row],[Cr_am_noncomp]])/Table2[[#This Row],[Cr_am_total_randomized+patients]]</f>
        <v>4.4982698961937718E-2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54</v>
      </c>
      <c r="BI263" t="s">
        <v>54</v>
      </c>
    </row>
    <row r="264" spans="1:61" x14ac:dyDescent="0.2">
      <c r="A264" s="5" t="s">
        <v>258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 t="s">
        <v>48</v>
      </c>
      <c r="N264">
        <v>1</v>
      </c>
      <c r="O264" t="s">
        <v>49</v>
      </c>
      <c r="P264" t="s">
        <v>56</v>
      </c>
      <c r="Q264" t="s">
        <v>56</v>
      </c>
      <c r="R264">
        <v>2</v>
      </c>
      <c r="S264">
        <v>0</v>
      </c>
      <c r="T264" t="s">
        <v>51</v>
      </c>
      <c r="U264" t="s">
        <v>52</v>
      </c>
      <c r="V264" t="s">
        <v>53</v>
      </c>
      <c r="W264">
        <v>391</v>
      </c>
      <c r="X264">
        <v>266</v>
      </c>
      <c r="Y264">
        <v>0.68030690537084404</v>
      </c>
      <c r="Z264">
        <v>21</v>
      </c>
      <c r="AA264">
        <v>39</v>
      </c>
      <c r="AB264">
        <v>108</v>
      </c>
      <c r="AC264">
        <v>0</v>
      </c>
      <c r="AD264">
        <v>0</v>
      </c>
      <c r="AE264">
        <v>0</v>
      </c>
      <c r="AF264">
        <v>33</v>
      </c>
      <c r="AG264">
        <v>22</v>
      </c>
      <c r="AH264">
        <v>0</v>
      </c>
      <c r="AJ264">
        <v>0</v>
      </c>
      <c r="AK264">
        <v>43</v>
      </c>
      <c r="AL264">
        <v>0.13810741687979539</v>
      </c>
      <c r="AM264" t="s">
        <v>385</v>
      </c>
      <c r="AN264" t="s">
        <v>373</v>
      </c>
      <c r="AO264" s="3">
        <v>0</v>
      </c>
      <c r="AQ264">
        <v>195</v>
      </c>
      <c r="AR264" s="8" t="e">
        <f>(Table2[[#This Row],[Tx_Arm_Patinet_Withdrawal_Consent]]+Table2[[#This Row],[Tx_am_lost_fu]]+Table2[[#This Row],[Tx_arm_noncomp]])/Table2[[#This Row],[Tx_arm_randomized_to_tx]]</f>
        <v>#VALUE!</v>
      </c>
      <c r="AS264" t="s">
        <v>373</v>
      </c>
      <c r="AT264" t="s">
        <v>373</v>
      </c>
      <c r="AU264" t="s">
        <v>373</v>
      </c>
      <c r="AV264">
        <v>196</v>
      </c>
      <c r="AW264" s="8" t="e">
        <f>(Table2[[#This Row],[Cr_arm_patient_withdrawal_consent]]+Table2[[#This Row],[Cr_arm_lost_fu]]+Table2[[#This Row],[Cr_am_noncomp]])/Table2[[#This Row],[Cr_am_total_randomized+patients]]</f>
        <v>#VALUE!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54</v>
      </c>
      <c r="BI264" t="s">
        <v>57</v>
      </c>
    </row>
    <row r="265" spans="1:61" x14ac:dyDescent="0.2">
      <c r="A265" t="s">
        <v>74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 t="s">
        <v>48</v>
      </c>
      <c r="N265">
        <v>1</v>
      </c>
      <c r="O265">
        <v>3.119444444444444</v>
      </c>
      <c r="P265" t="s">
        <v>61</v>
      </c>
      <c r="Q265" t="s">
        <v>50</v>
      </c>
      <c r="R265">
        <v>2</v>
      </c>
      <c r="S265">
        <v>0</v>
      </c>
      <c r="T265" t="s">
        <v>51</v>
      </c>
      <c r="U265" t="s">
        <v>52</v>
      </c>
      <c r="V265" t="s">
        <v>53</v>
      </c>
      <c r="W265">
        <v>131</v>
      </c>
      <c r="X265">
        <v>131</v>
      </c>
      <c r="Y265">
        <v>1</v>
      </c>
      <c r="Z265">
        <v>27</v>
      </c>
      <c r="AA265">
        <v>3</v>
      </c>
      <c r="AB265">
        <v>53</v>
      </c>
      <c r="AC265">
        <v>0</v>
      </c>
      <c r="AD265">
        <v>0</v>
      </c>
      <c r="AE265">
        <v>8</v>
      </c>
      <c r="AF265">
        <v>8</v>
      </c>
      <c r="AG265">
        <v>45</v>
      </c>
      <c r="AH265">
        <v>3</v>
      </c>
      <c r="AJ265">
        <v>2</v>
      </c>
      <c r="AK265">
        <v>0</v>
      </c>
      <c r="AL265">
        <v>0.29007633587786258</v>
      </c>
      <c r="AN265">
        <v>10</v>
      </c>
      <c r="AO265" s="3">
        <v>0</v>
      </c>
      <c r="AQ265">
        <v>66</v>
      </c>
      <c r="AR265">
        <f>(Table2[[#This Row],[Tx_Arm_Patinet_Withdrawal_Consent]]+Table2[[#This Row],[Tx_am_lost_fu]]+Table2[[#This Row],[Tx_arm_noncomp]])/Table2[[#This Row],[Tx_arm_randomized_to_tx]]</f>
        <v>0.15151515151515152</v>
      </c>
      <c r="AS265">
        <v>16</v>
      </c>
      <c r="AT265">
        <v>1</v>
      </c>
      <c r="AV265">
        <v>65</v>
      </c>
      <c r="AW265">
        <f>(Table2[[#This Row],[Cr_arm_patient_withdrawal_consent]]+Table2[[#This Row],[Cr_arm_lost_fu]]+Table2[[#This Row],[Cr_am_noncomp]])/Table2[[#This Row],[Cr_am_total_randomized+patients]]</f>
        <v>0.26153846153846155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54</v>
      </c>
      <c r="BI265" t="s">
        <v>54</v>
      </c>
    </row>
    <row r="266" spans="1:61" x14ac:dyDescent="0.2">
      <c r="A266" s="5" t="s">
        <v>72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 t="s">
        <v>69</v>
      </c>
      <c r="N266">
        <v>0</v>
      </c>
      <c r="O266">
        <v>0.5083333333333333</v>
      </c>
      <c r="P266" t="s">
        <v>61</v>
      </c>
      <c r="Q266" t="s">
        <v>50</v>
      </c>
      <c r="R266">
        <v>3</v>
      </c>
      <c r="S266">
        <v>0</v>
      </c>
      <c r="T266" t="s">
        <v>51</v>
      </c>
      <c r="U266" t="s">
        <v>52</v>
      </c>
      <c r="V266" t="s">
        <v>73</v>
      </c>
      <c r="W266">
        <v>1436</v>
      </c>
      <c r="X266">
        <v>991</v>
      </c>
      <c r="Y266">
        <v>0.69011142061281339</v>
      </c>
      <c r="Z266" s="6">
        <v>218</v>
      </c>
      <c r="AA266" s="6">
        <v>0</v>
      </c>
      <c r="AB266" s="6">
        <v>8</v>
      </c>
      <c r="AC266" s="6">
        <v>1</v>
      </c>
      <c r="AD266" s="6">
        <v>6</v>
      </c>
      <c r="AE266" s="6">
        <v>0</v>
      </c>
      <c r="AF266" s="6">
        <v>20</v>
      </c>
      <c r="AG266" s="6">
        <v>648</v>
      </c>
      <c r="AH266" s="6">
        <v>81</v>
      </c>
      <c r="AI266" s="6"/>
      <c r="AJ266" s="6">
        <v>7</v>
      </c>
      <c r="AK266" s="6">
        <v>2</v>
      </c>
      <c r="AL266">
        <v>0.22214484679665739</v>
      </c>
      <c r="AM266" t="s">
        <v>384</v>
      </c>
      <c r="AN266">
        <v>204</v>
      </c>
      <c r="AQ266">
        <v>1436</v>
      </c>
      <c r="AR266" s="8">
        <f>(Table2[[#This Row],[Tx_Arm_Patinet_Withdrawal_Consent]]+Table2[[#This Row],[Tx_am_lost_fu]]+Table2[[#This Row],[Tx_arm_noncomp]])/Table2[[#This Row],[Tx_arm_randomized_to_tx]]</f>
        <v>0.14206128133704735</v>
      </c>
      <c r="AS266" t="s">
        <v>373</v>
      </c>
      <c r="AT266" t="s">
        <v>373</v>
      </c>
      <c r="AU266" t="s">
        <v>373</v>
      </c>
      <c r="AV266" t="s">
        <v>49</v>
      </c>
      <c r="AW266" s="8" t="e">
        <f>(Table2[[#This Row],[Cr_arm_patient_withdrawal_consent]]+Table2[[#This Row],[Cr_arm_lost_fu]]+Table2[[#This Row],[Cr_am_noncomp]])/Table2[[#This Row],[Cr_am_total_randomized+patients]]</f>
        <v>#VALUE!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0</v>
      </c>
      <c r="BG266">
        <v>0</v>
      </c>
      <c r="BH266" t="s">
        <v>54</v>
      </c>
      <c r="BI266" t="s">
        <v>54</v>
      </c>
    </row>
    <row r="267" spans="1:61" x14ac:dyDescent="0.2">
      <c r="A267" t="s">
        <v>225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 t="s">
        <v>48</v>
      </c>
      <c r="N267">
        <v>1</v>
      </c>
      <c r="O267">
        <v>6.9861111111111107</v>
      </c>
      <c r="P267" t="s">
        <v>50</v>
      </c>
      <c r="Q267" t="s">
        <v>50</v>
      </c>
      <c r="R267">
        <v>2</v>
      </c>
      <c r="S267">
        <v>1</v>
      </c>
      <c r="T267" t="s">
        <v>51</v>
      </c>
      <c r="U267" t="s">
        <v>52</v>
      </c>
      <c r="V267" t="s">
        <v>53</v>
      </c>
      <c r="W267">
        <v>416</v>
      </c>
      <c r="X267">
        <v>275</v>
      </c>
      <c r="Y267">
        <v>0.66105769230769229</v>
      </c>
      <c r="Z267">
        <v>22</v>
      </c>
      <c r="AA267">
        <v>39</v>
      </c>
      <c r="AB267">
        <v>178</v>
      </c>
      <c r="AC267">
        <v>0</v>
      </c>
      <c r="AD267">
        <v>3</v>
      </c>
      <c r="AE267">
        <v>23</v>
      </c>
      <c r="AF267">
        <v>3</v>
      </c>
      <c r="AG267">
        <v>0</v>
      </c>
      <c r="AH267">
        <v>1</v>
      </c>
      <c r="AJ267">
        <v>6</v>
      </c>
      <c r="AK267">
        <v>0</v>
      </c>
      <c r="AL267">
        <v>6.25E-2</v>
      </c>
      <c r="AN267">
        <v>15</v>
      </c>
      <c r="AO267" s="3">
        <v>0</v>
      </c>
      <c r="AP267">
        <v>6</v>
      </c>
      <c r="AQ267">
        <v>207</v>
      </c>
      <c r="AR267">
        <f>(Table2[[#This Row],[Tx_Arm_Patinet_Withdrawal_Consent]]+Table2[[#This Row],[Tx_am_lost_fu]]+Table2[[#This Row],[Tx_arm_noncomp]])/Table2[[#This Row],[Tx_arm_randomized_to_tx]]</f>
        <v>0.10144927536231885</v>
      </c>
      <c r="AS267">
        <v>7</v>
      </c>
      <c r="AU267">
        <v>18</v>
      </c>
      <c r="AV267">
        <v>209</v>
      </c>
      <c r="AW267">
        <f>(Table2[[#This Row],[Cr_arm_patient_withdrawal_consent]]+Table2[[#This Row],[Cr_arm_lost_fu]]+Table2[[#This Row],[Cr_am_noncomp]])/Table2[[#This Row],[Cr_am_total_randomized+patients]]</f>
        <v>0.11961722488038277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57</v>
      </c>
      <c r="BI267" t="s">
        <v>54</v>
      </c>
    </row>
    <row r="268" spans="1:61" x14ac:dyDescent="0.2">
      <c r="A268" t="s">
        <v>97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60</v>
      </c>
      <c r="N268">
        <v>0</v>
      </c>
      <c r="O268">
        <v>7.7555555555555564</v>
      </c>
      <c r="P268" t="s">
        <v>56</v>
      </c>
      <c r="Q268" t="s">
        <v>56</v>
      </c>
      <c r="R268">
        <v>2</v>
      </c>
      <c r="S268">
        <v>0</v>
      </c>
      <c r="T268" t="s">
        <v>51</v>
      </c>
      <c r="U268" t="s">
        <v>52</v>
      </c>
      <c r="V268" t="s">
        <v>53</v>
      </c>
      <c r="W268">
        <v>2577</v>
      </c>
      <c r="X268">
        <v>754</v>
      </c>
      <c r="Y268">
        <v>0.29258828094683742</v>
      </c>
      <c r="Z268">
        <v>204</v>
      </c>
      <c r="AA268">
        <v>12</v>
      </c>
      <c r="AB268">
        <v>313</v>
      </c>
      <c r="AC268">
        <v>0</v>
      </c>
      <c r="AD268">
        <v>0</v>
      </c>
      <c r="AE268">
        <v>0</v>
      </c>
      <c r="AF268">
        <v>28</v>
      </c>
      <c r="AG268">
        <v>32</v>
      </c>
      <c r="AH268">
        <v>149</v>
      </c>
      <c r="AJ268">
        <v>16</v>
      </c>
      <c r="AK268">
        <v>0</v>
      </c>
      <c r="AL268">
        <v>0.14784633294528521</v>
      </c>
      <c r="AN268">
        <v>8</v>
      </c>
      <c r="AO268" s="3">
        <v>0</v>
      </c>
      <c r="AQ268">
        <v>653</v>
      </c>
      <c r="AR268">
        <f>(Table2[[#This Row],[Tx_Arm_Patinet_Withdrawal_Consent]]+Table2[[#This Row],[Tx_am_lost_fu]]+Table2[[#This Row],[Tx_arm_noncomp]])/Table2[[#This Row],[Tx_arm_randomized_to_tx]]</f>
        <v>1.2251148545176111E-2</v>
      </c>
      <c r="AS268">
        <v>28</v>
      </c>
      <c r="AV268">
        <v>1688</v>
      </c>
      <c r="AW268">
        <f>(Table2[[#This Row],[Cr_arm_patient_withdrawal_consent]]+Table2[[#This Row],[Cr_arm_lost_fu]]+Table2[[#This Row],[Cr_am_noncomp]])/Table2[[#This Row],[Cr_am_total_randomized+patients]]</f>
        <v>1.6587677725118485E-2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54</v>
      </c>
      <c r="BI268" t="s">
        <v>57</v>
      </c>
    </row>
    <row r="269" spans="1:61" x14ac:dyDescent="0.2">
      <c r="A269" t="s">
        <v>297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 t="s">
        <v>48</v>
      </c>
      <c r="N269">
        <v>1</v>
      </c>
      <c r="O269">
        <v>0.47222222222222221</v>
      </c>
      <c r="P269" t="s">
        <v>50</v>
      </c>
      <c r="Q269" t="s">
        <v>50</v>
      </c>
      <c r="R269">
        <v>2</v>
      </c>
      <c r="S269">
        <v>1</v>
      </c>
      <c r="T269" t="s">
        <v>51</v>
      </c>
      <c r="U269" t="s">
        <v>52</v>
      </c>
      <c r="V269" t="s">
        <v>53</v>
      </c>
      <c r="W269">
        <v>722</v>
      </c>
      <c r="X269">
        <v>453</v>
      </c>
      <c r="Y269">
        <v>0.62742382271468145</v>
      </c>
      <c r="Z269">
        <v>22</v>
      </c>
      <c r="AA269">
        <v>111</v>
      </c>
      <c r="AB269">
        <v>272</v>
      </c>
      <c r="AC269">
        <v>1</v>
      </c>
      <c r="AD269">
        <v>6</v>
      </c>
      <c r="AE269">
        <v>1</v>
      </c>
      <c r="AF269">
        <v>2</v>
      </c>
      <c r="AG269">
        <v>0</v>
      </c>
      <c r="AH269">
        <v>1</v>
      </c>
      <c r="AJ269">
        <v>37</v>
      </c>
      <c r="AK269">
        <v>0</v>
      </c>
      <c r="AL269">
        <v>3.4626038781163437E-2</v>
      </c>
      <c r="AN269">
        <v>26</v>
      </c>
      <c r="AO269" s="3">
        <v>0</v>
      </c>
      <c r="AQ269">
        <v>360</v>
      </c>
      <c r="AR269">
        <f>(Table2[[#This Row],[Tx_Arm_Patinet_Withdrawal_Consent]]+Table2[[#This Row],[Tx_am_lost_fu]]+Table2[[#This Row],[Tx_arm_noncomp]])/Table2[[#This Row],[Tx_arm_randomized_to_tx]]</f>
        <v>7.2222222222222215E-2</v>
      </c>
      <c r="AS269">
        <v>15</v>
      </c>
      <c r="AT269">
        <v>0</v>
      </c>
      <c r="AU269">
        <v>0</v>
      </c>
      <c r="AV269">
        <v>362</v>
      </c>
      <c r="AW269">
        <f>(Table2[[#This Row],[Cr_arm_patient_withdrawal_consent]]+Table2[[#This Row],[Cr_arm_lost_fu]]+Table2[[#This Row],[Cr_am_noncomp]])/Table2[[#This Row],[Cr_am_total_randomized+patients]]</f>
        <v>4.1436464088397788E-2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 t="s">
        <v>54</v>
      </c>
      <c r="BI269" t="s">
        <v>63</v>
      </c>
    </row>
    <row r="270" spans="1:61" x14ac:dyDescent="0.2">
      <c r="A270" t="s">
        <v>182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48</v>
      </c>
      <c r="N270">
        <v>1</v>
      </c>
      <c r="O270">
        <v>1.822222222222222</v>
      </c>
      <c r="P270" t="s">
        <v>56</v>
      </c>
      <c r="Q270" t="s">
        <v>56</v>
      </c>
      <c r="R270">
        <v>2</v>
      </c>
      <c r="S270">
        <v>0</v>
      </c>
      <c r="T270" t="s">
        <v>51</v>
      </c>
      <c r="U270" t="s">
        <v>52</v>
      </c>
      <c r="V270" t="s">
        <v>53</v>
      </c>
      <c r="W270">
        <v>795</v>
      </c>
      <c r="X270">
        <v>787</v>
      </c>
      <c r="Y270">
        <v>0.989937106918239</v>
      </c>
      <c r="Z270">
        <v>48</v>
      </c>
      <c r="AA270">
        <v>120</v>
      </c>
      <c r="AB270">
        <v>544</v>
      </c>
      <c r="AC270">
        <v>0</v>
      </c>
      <c r="AD270">
        <v>0</v>
      </c>
      <c r="AE270">
        <v>53</v>
      </c>
      <c r="AF270">
        <v>8</v>
      </c>
      <c r="AG270">
        <v>0</v>
      </c>
      <c r="AH270">
        <v>4</v>
      </c>
      <c r="AJ270">
        <v>10</v>
      </c>
      <c r="AK270">
        <v>0</v>
      </c>
      <c r="AL270">
        <v>7.5471698113207544E-2</v>
      </c>
      <c r="AN270">
        <v>28</v>
      </c>
      <c r="AO270" s="3">
        <v>2</v>
      </c>
      <c r="AP270">
        <v>3</v>
      </c>
      <c r="AQ270">
        <v>398</v>
      </c>
      <c r="AR270">
        <f>(Table2[[#This Row],[Tx_Arm_Patinet_Withdrawal_Consent]]+Table2[[#This Row],[Tx_am_lost_fu]]+Table2[[#This Row],[Tx_arm_noncomp]])/Table2[[#This Row],[Tx_arm_randomized_to_tx]]</f>
        <v>8.2914572864321606E-2</v>
      </c>
      <c r="AS270">
        <v>20</v>
      </c>
      <c r="AT270">
        <v>5</v>
      </c>
      <c r="AU270">
        <v>2</v>
      </c>
      <c r="AV270">
        <v>395</v>
      </c>
      <c r="AW270">
        <f>(Table2[[#This Row],[Cr_arm_patient_withdrawal_consent]]+Table2[[#This Row],[Cr_arm_lost_fu]]+Table2[[#This Row],[Cr_am_noncomp]])/Table2[[#This Row],[Cr_am_total_randomized+patients]]</f>
        <v>6.8354430379746839E-2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54</v>
      </c>
      <c r="BI270" t="s">
        <v>54</v>
      </c>
    </row>
    <row r="271" spans="1:61" x14ac:dyDescent="0.2">
      <c r="A271" t="s">
        <v>205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48</v>
      </c>
      <c r="N271">
        <v>1</v>
      </c>
      <c r="O271">
        <v>1.9444444444444441E-2</v>
      </c>
      <c r="P271" t="s">
        <v>56</v>
      </c>
      <c r="Q271" t="s">
        <v>50</v>
      </c>
      <c r="R271">
        <v>2</v>
      </c>
      <c r="S271">
        <v>0</v>
      </c>
      <c r="T271" t="s">
        <v>51</v>
      </c>
      <c r="U271" t="s">
        <v>179</v>
      </c>
      <c r="V271" t="s">
        <v>73</v>
      </c>
      <c r="W271">
        <v>530</v>
      </c>
      <c r="X271">
        <v>517</v>
      </c>
      <c r="Y271">
        <v>0.97547169811320755</v>
      </c>
      <c r="Z271">
        <v>33</v>
      </c>
      <c r="AA271">
        <v>43</v>
      </c>
      <c r="AB271">
        <v>355</v>
      </c>
      <c r="AC271">
        <v>0</v>
      </c>
      <c r="AD271">
        <v>0</v>
      </c>
      <c r="AE271">
        <v>21</v>
      </c>
      <c r="AF271">
        <v>1</v>
      </c>
      <c r="AG271">
        <v>54</v>
      </c>
      <c r="AH271">
        <v>3</v>
      </c>
      <c r="AJ271">
        <v>7</v>
      </c>
      <c r="AK271">
        <v>0</v>
      </c>
      <c r="AL271">
        <v>6.981132075471698E-2</v>
      </c>
      <c r="AN271">
        <v>23</v>
      </c>
      <c r="AO271" s="3">
        <v>0</v>
      </c>
      <c r="AQ271">
        <v>266</v>
      </c>
      <c r="AR271">
        <f>(Table2[[#This Row],[Tx_Arm_Patinet_Withdrawal_Consent]]+Table2[[#This Row],[Tx_am_lost_fu]]+Table2[[#This Row],[Tx_arm_noncomp]])/Table2[[#This Row],[Tx_arm_randomized_to_tx]]</f>
        <v>8.646616541353383E-2</v>
      </c>
      <c r="AS271">
        <v>32</v>
      </c>
      <c r="AV271">
        <v>264</v>
      </c>
      <c r="AW271">
        <f>(Table2[[#This Row],[Cr_arm_patient_withdrawal_consent]]+Table2[[#This Row],[Cr_arm_lost_fu]]+Table2[[#This Row],[Cr_am_noncomp]])/Table2[[#This Row],[Cr_am_total_randomized+patients]]</f>
        <v>0.12121212121212122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54</v>
      </c>
      <c r="BI271" t="s">
        <v>63</v>
      </c>
    </row>
    <row r="272" spans="1:61" x14ac:dyDescent="0.2">
      <c r="A272" t="s">
        <v>316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 t="s">
        <v>48</v>
      </c>
      <c r="N272">
        <v>1</v>
      </c>
      <c r="O272">
        <v>6.45</v>
      </c>
      <c r="P272" t="s">
        <v>61</v>
      </c>
      <c r="Q272" t="s">
        <v>56</v>
      </c>
      <c r="R272">
        <v>1</v>
      </c>
      <c r="S272">
        <v>1</v>
      </c>
      <c r="T272" t="s">
        <v>51</v>
      </c>
      <c r="U272" t="s">
        <v>52</v>
      </c>
      <c r="V272" t="s">
        <v>53</v>
      </c>
      <c r="W272">
        <v>692</v>
      </c>
      <c r="X272">
        <v>466</v>
      </c>
      <c r="Y272">
        <v>0.67341040462427748</v>
      </c>
      <c r="Z272">
        <v>67</v>
      </c>
      <c r="AA272">
        <v>148</v>
      </c>
      <c r="AB272">
        <v>139</v>
      </c>
      <c r="AC272">
        <v>0</v>
      </c>
      <c r="AD272">
        <v>0</v>
      </c>
      <c r="AE272">
        <v>22</v>
      </c>
      <c r="AF272">
        <v>24</v>
      </c>
      <c r="AG272">
        <v>24</v>
      </c>
      <c r="AH272">
        <v>8</v>
      </c>
      <c r="AJ272">
        <v>34</v>
      </c>
      <c r="AK272">
        <v>0</v>
      </c>
      <c r="AL272">
        <v>0.1430635838150289</v>
      </c>
      <c r="AN272">
        <v>13</v>
      </c>
      <c r="AO272" s="3">
        <v>1</v>
      </c>
      <c r="AQ272">
        <v>138</v>
      </c>
      <c r="AR272">
        <f>(Table2[[#This Row],[Tx_Arm_Patinet_Withdrawal_Consent]]+Table2[[#This Row],[Tx_am_lost_fu]]+Table2[[#This Row],[Tx_arm_noncomp]])/Table2[[#This Row],[Tx_arm_randomized_to_tx]]</f>
        <v>0.10144927536231885</v>
      </c>
      <c r="AS272">
        <v>8</v>
      </c>
      <c r="AU272">
        <v>4</v>
      </c>
      <c r="AV272">
        <v>138</v>
      </c>
      <c r="AW272">
        <f>(Table2[[#This Row],[Cr_arm_patient_withdrawal_consent]]+Table2[[#This Row],[Cr_arm_lost_fu]]+Table2[[#This Row],[Cr_am_noncomp]])/Table2[[#This Row],[Cr_am_total_randomized+patients]]</f>
        <v>8.6956521739130432E-2</v>
      </c>
      <c r="AX272">
        <v>0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 t="s">
        <v>54</v>
      </c>
      <c r="BI272" t="s">
        <v>54</v>
      </c>
    </row>
    <row r="273" spans="1:61" x14ac:dyDescent="0.2">
      <c r="A273" t="s">
        <v>357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48</v>
      </c>
      <c r="N273">
        <v>1</v>
      </c>
      <c r="O273">
        <v>6.5305555555555559</v>
      </c>
      <c r="P273" t="s">
        <v>56</v>
      </c>
      <c r="Q273" t="s">
        <v>56</v>
      </c>
      <c r="R273">
        <v>2</v>
      </c>
      <c r="S273">
        <v>0</v>
      </c>
      <c r="T273" t="s">
        <v>368</v>
      </c>
      <c r="U273" t="s">
        <v>52</v>
      </c>
      <c r="V273" t="s">
        <v>53</v>
      </c>
      <c r="W273">
        <v>103</v>
      </c>
      <c r="X273">
        <v>7</v>
      </c>
      <c r="Y273">
        <v>6.7961165048543687E-2</v>
      </c>
      <c r="Z273">
        <v>0</v>
      </c>
      <c r="AA273">
        <v>0</v>
      </c>
      <c r="AB273">
        <v>1</v>
      </c>
      <c r="AC273">
        <v>3</v>
      </c>
      <c r="AD273">
        <v>0</v>
      </c>
      <c r="AE273">
        <v>1</v>
      </c>
      <c r="AF273">
        <v>2</v>
      </c>
      <c r="AG273">
        <v>0</v>
      </c>
      <c r="AH273">
        <v>0</v>
      </c>
      <c r="AJ273">
        <v>0</v>
      </c>
      <c r="AK273">
        <v>0</v>
      </c>
      <c r="AL273">
        <v>1.9417475728155338E-2</v>
      </c>
      <c r="AN273">
        <v>0</v>
      </c>
      <c r="AO273" s="3">
        <v>0</v>
      </c>
      <c r="AQ273">
        <v>52</v>
      </c>
      <c r="AR273">
        <f>(Table2[[#This Row],[Tx_Arm_Patinet_Withdrawal_Consent]]+Table2[[#This Row],[Tx_am_lost_fu]]+Table2[[#This Row],[Tx_arm_noncomp]])/Table2[[#This Row],[Tx_arm_randomized_to_tx]]</f>
        <v>0</v>
      </c>
      <c r="AS273">
        <v>0</v>
      </c>
      <c r="AV273">
        <v>51</v>
      </c>
      <c r="AW273">
        <f>(Table2[[#This Row],[Cr_arm_patient_withdrawal_consent]]+Table2[[#This Row],[Cr_arm_lost_fu]]+Table2[[#This Row],[Cr_am_noncomp]])/Table2[[#This Row],[Cr_am_total_randomized+patients]]</f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54</v>
      </c>
      <c r="BI273" t="s">
        <v>54</v>
      </c>
    </row>
    <row r="274" spans="1:61" x14ac:dyDescent="0.2">
      <c r="A274" t="s">
        <v>327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 t="s">
        <v>48</v>
      </c>
      <c r="N274">
        <v>1</v>
      </c>
      <c r="O274">
        <v>4.125</v>
      </c>
      <c r="P274" t="s">
        <v>50</v>
      </c>
      <c r="Q274" t="s">
        <v>56</v>
      </c>
      <c r="R274">
        <v>2</v>
      </c>
      <c r="S274">
        <v>0</v>
      </c>
      <c r="T274" t="s">
        <v>368</v>
      </c>
      <c r="U274" t="s">
        <v>90</v>
      </c>
      <c r="V274" t="s">
        <v>73</v>
      </c>
      <c r="W274">
        <v>205</v>
      </c>
      <c r="X274">
        <v>6</v>
      </c>
      <c r="Y274">
        <v>2.9268292682926831E-2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2</v>
      </c>
      <c r="AF274">
        <v>0</v>
      </c>
      <c r="AG274">
        <v>0</v>
      </c>
      <c r="AH274">
        <v>3</v>
      </c>
      <c r="AJ274">
        <v>0</v>
      </c>
      <c r="AK274">
        <v>0</v>
      </c>
      <c r="AL274">
        <v>1.4634146341463415E-2</v>
      </c>
      <c r="AN274">
        <v>0</v>
      </c>
      <c r="AO274" s="3">
        <v>0</v>
      </c>
      <c r="AQ274">
        <v>105</v>
      </c>
      <c r="AR274">
        <f>(Table2[[#This Row],[Tx_Arm_Patinet_Withdrawal_Consent]]+Table2[[#This Row],[Tx_am_lost_fu]]+Table2[[#This Row],[Tx_arm_noncomp]])/Table2[[#This Row],[Tx_arm_randomized_to_tx]]</f>
        <v>0</v>
      </c>
      <c r="AS274">
        <v>0</v>
      </c>
      <c r="AV274">
        <v>100</v>
      </c>
      <c r="AW274">
        <f>(Table2[[#This Row],[Cr_arm_patient_withdrawal_consent]]+Table2[[#This Row],[Cr_arm_lost_fu]]+Table2[[#This Row],[Cr_am_noncomp]])/Table2[[#This Row],[Cr_am_total_randomized+patients]]</f>
        <v>0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57</v>
      </c>
      <c r="BI274" t="s">
        <v>57</v>
      </c>
    </row>
    <row r="275" spans="1:61" x14ac:dyDescent="0.2">
      <c r="A275" t="s">
        <v>145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 t="s">
        <v>48</v>
      </c>
      <c r="N275">
        <v>1</v>
      </c>
      <c r="O275">
        <v>10.08333333333333</v>
      </c>
      <c r="P275" t="s">
        <v>50</v>
      </c>
      <c r="Q275" t="s">
        <v>50</v>
      </c>
      <c r="R275">
        <v>2</v>
      </c>
      <c r="S275">
        <v>0</v>
      </c>
      <c r="T275" t="s">
        <v>51</v>
      </c>
      <c r="U275" t="s">
        <v>52</v>
      </c>
      <c r="V275" t="s">
        <v>53</v>
      </c>
      <c r="W275">
        <v>748</v>
      </c>
      <c r="X275">
        <v>672</v>
      </c>
      <c r="Y275">
        <v>0.89839572192513373</v>
      </c>
      <c r="Z275">
        <v>64</v>
      </c>
      <c r="AA275">
        <v>285</v>
      </c>
      <c r="AB275">
        <v>255</v>
      </c>
      <c r="AC275">
        <v>0</v>
      </c>
      <c r="AD275">
        <v>0</v>
      </c>
      <c r="AE275">
        <v>1</v>
      </c>
      <c r="AF275">
        <v>7</v>
      </c>
      <c r="AG275">
        <v>15</v>
      </c>
      <c r="AH275">
        <v>2</v>
      </c>
      <c r="AJ275">
        <v>43</v>
      </c>
      <c r="AK275">
        <v>0</v>
      </c>
      <c r="AL275">
        <v>9.7593582887700536E-2</v>
      </c>
      <c r="AN275">
        <v>37</v>
      </c>
      <c r="AO275" s="3">
        <v>0</v>
      </c>
      <c r="AQ275">
        <v>374</v>
      </c>
      <c r="AR275">
        <f>(Table2[[#This Row],[Tx_Arm_Patinet_Withdrawal_Consent]]+Table2[[#This Row],[Tx_am_lost_fu]]+Table2[[#This Row],[Tx_arm_noncomp]])/Table2[[#This Row],[Tx_arm_randomized_to_tx]]</f>
        <v>9.8930481283422467E-2</v>
      </c>
      <c r="AS275">
        <v>27</v>
      </c>
      <c r="AV275">
        <v>374</v>
      </c>
      <c r="AW275">
        <f>(Table2[[#This Row],[Cr_arm_patient_withdrawal_consent]]+Table2[[#This Row],[Cr_arm_lost_fu]]+Table2[[#This Row],[Cr_am_noncomp]])/Table2[[#This Row],[Cr_am_total_randomized+patients]]</f>
        <v>7.2192513368983954E-2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 t="s">
        <v>54</v>
      </c>
      <c r="BI275" t="s">
        <v>63</v>
      </c>
    </row>
    <row r="276" spans="1:61" x14ac:dyDescent="0.2">
      <c r="A276" t="s">
        <v>245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 t="s">
        <v>48</v>
      </c>
      <c r="N276">
        <v>1</v>
      </c>
      <c r="O276">
        <v>2.777777777777778E-2</v>
      </c>
      <c r="P276" t="s">
        <v>50</v>
      </c>
      <c r="Q276" t="s">
        <v>50</v>
      </c>
      <c r="R276">
        <v>1</v>
      </c>
      <c r="S276">
        <v>1</v>
      </c>
      <c r="T276" t="s">
        <v>51</v>
      </c>
      <c r="U276" t="s">
        <v>52</v>
      </c>
      <c r="V276" t="s">
        <v>53</v>
      </c>
      <c r="W276">
        <v>1192</v>
      </c>
      <c r="X276">
        <v>338</v>
      </c>
      <c r="Y276">
        <v>0.28355704697986578</v>
      </c>
      <c r="Z276">
        <v>21</v>
      </c>
      <c r="AA276">
        <v>130</v>
      </c>
      <c r="AB276">
        <v>120</v>
      </c>
      <c r="AC276">
        <v>0</v>
      </c>
      <c r="AD276">
        <v>0</v>
      </c>
      <c r="AE276">
        <v>0</v>
      </c>
      <c r="AF276">
        <v>42</v>
      </c>
      <c r="AG276">
        <v>11</v>
      </c>
      <c r="AH276">
        <v>2</v>
      </c>
      <c r="AJ276">
        <v>12</v>
      </c>
      <c r="AK276">
        <v>0</v>
      </c>
      <c r="AL276">
        <v>5.4530201342281877E-2</v>
      </c>
      <c r="AN276">
        <v>5</v>
      </c>
      <c r="AO276" s="3">
        <v>0</v>
      </c>
      <c r="AQ276">
        <v>601</v>
      </c>
      <c r="AR276">
        <f>(Table2[[#This Row],[Tx_Arm_Patinet_Withdrawal_Consent]]+Table2[[#This Row],[Tx_am_lost_fu]]+Table2[[#This Row],[Tx_arm_noncomp]])/Table2[[#This Row],[Tx_arm_randomized_to_tx]]</f>
        <v>8.3194675540765387E-3</v>
      </c>
      <c r="AS276">
        <v>3</v>
      </c>
      <c r="AV276">
        <v>601</v>
      </c>
      <c r="AW276">
        <f>(Table2[[#This Row],[Cr_arm_patient_withdrawal_consent]]+Table2[[#This Row],[Cr_arm_lost_fu]]+Table2[[#This Row],[Cr_am_noncomp]])/Table2[[#This Row],[Cr_am_total_randomized+patients]]</f>
        <v>4.9916805324459234E-3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 t="s">
        <v>54</v>
      </c>
      <c r="BI276" t="s">
        <v>63</v>
      </c>
    </row>
    <row r="277" spans="1:61" x14ac:dyDescent="0.2">
      <c r="A277" t="s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 t="s">
        <v>48</v>
      </c>
      <c r="N277">
        <v>1</v>
      </c>
      <c r="O277">
        <v>6.0472222222222216</v>
      </c>
      <c r="P277" t="s">
        <v>56</v>
      </c>
      <c r="Q277" t="s">
        <v>50</v>
      </c>
      <c r="R277">
        <v>1</v>
      </c>
      <c r="S277">
        <v>1</v>
      </c>
      <c r="T277" t="s">
        <v>51</v>
      </c>
      <c r="U277" t="s">
        <v>52</v>
      </c>
      <c r="V277" t="s">
        <v>53</v>
      </c>
      <c r="W277">
        <v>1297</v>
      </c>
      <c r="X277">
        <v>438</v>
      </c>
      <c r="Y277">
        <v>0.33770239013107173</v>
      </c>
      <c r="Z277">
        <v>41</v>
      </c>
      <c r="AA277">
        <v>45</v>
      </c>
      <c r="AB277">
        <v>301</v>
      </c>
      <c r="AC277">
        <v>0</v>
      </c>
      <c r="AD277">
        <v>0</v>
      </c>
      <c r="AE277">
        <v>16</v>
      </c>
      <c r="AF277">
        <v>4</v>
      </c>
      <c r="AG277">
        <v>15</v>
      </c>
      <c r="AH277">
        <v>0</v>
      </c>
      <c r="AJ277">
        <v>16</v>
      </c>
      <c r="AK277">
        <v>0</v>
      </c>
      <c r="AL277">
        <v>3.469545104086353E-2</v>
      </c>
      <c r="AN277">
        <v>30</v>
      </c>
      <c r="AO277" s="3">
        <v>0</v>
      </c>
      <c r="AP277">
        <v>4</v>
      </c>
      <c r="AQ277">
        <v>858</v>
      </c>
      <c r="AR277">
        <f>(Table2[[#This Row],[Tx_Arm_Patinet_Withdrawal_Consent]]+Table2[[#This Row],[Tx_am_lost_fu]]+Table2[[#This Row],[Tx_arm_noncomp]])/Table2[[#This Row],[Tx_arm_randomized_to_tx]]</f>
        <v>3.9627039627039624E-2</v>
      </c>
      <c r="AS277">
        <v>11</v>
      </c>
      <c r="AT277">
        <v>0</v>
      </c>
      <c r="AU277">
        <v>12</v>
      </c>
      <c r="AV277">
        <v>428</v>
      </c>
      <c r="AW277">
        <f>(Table2[[#This Row],[Cr_arm_patient_withdrawal_consent]]+Table2[[#This Row],[Cr_arm_lost_fu]]+Table2[[#This Row],[Cr_am_noncomp]])/Table2[[#This Row],[Cr_am_total_randomized+patients]]</f>
        <v>5.3738317757009345E-2</v>
      </c>
      <c r="AX277">
        <v>0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54</v>
      </c>
      <c r="BI277" t="s">
        <v>54</v>
      </c>
    </row>
    <row r="278" spans="1:61" x14ac:dyDescent="0.2">
      <c r="A278" t="s">
        <v>167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 t="s">
        <v>48</v>
      </c>
      <c r="N278">
        <v>1</v>
      </c>
      <c r="O278">
        <v>7.4</v>
      </c>
      <c r="P278" t="s">
        <v>50</v>
      </c>
      <c r="Q278" t="s">
        <v>50</v>
      </c>
      <c r="R278">
        <v>2</v>
      </c>
      <c r="S278">
        <v>1</v>
      </c>
      <c r="T278" t="s">
        <v>51</v>
      </c>
      <c r="U278" t="s">
        <v>52</v>
      </c>
      <c r="V278" t="s">
        <v>53</v>
      </c>
      <c r="W278">
        <v>312</v>
      </c>
      <c r="X278">
        <v>189</v>
      </c>
      <c r="Y278">
        <v>0.60576923076923073</v>
      </c>
      <c r="Z278">
        <v>23</v>
      </c>
      <c r="AA278">
        <v>37</v>
      </c>
      <c r="AB278">
        <v>98</v>
      </c>
      <c r="AC278">
        <v>0</v>
      </c>
      <c r="AD278">
        <v>0</v>
      </c>
      <c r="AE278">
        <v>4</v>
      </c>
      <c r="AF278">
        <v>0</v>
      </c>
      <c r="AG278">
        <v>15</v>
      </c>
      <c r="AH278">
        <v>3</v>
      </c>
      <c r="AJ278">
        <v>9</v>
      </c>
      <c r="AK278">
        <v>0</v>
      </c>
      <c r="AL278">
        <v>8.3333333333333329E-2</v>
      </c>
      <c r="AN278">
        <v>7</v>
      </c>
      <c r="AO278" s="3">
        <v>1</v>
      </c>
      <c r="AQ278">
        <v>155</v>
      </c>
      <c r="AR278">
        <f>(Table2[[#This Row],[Tx_Arm_Patinet_Withdrawal_Consent]]+Table2[[#This Row],[Tx_am_lost_fu]]+Table2[[#This Row],[Tx_arm_noncomp]])/Table2[[#This Row],[Tx_arm_randomized_to_tx]]</f>
        <v>5.1612903225806452E-2</v>
      </c>
      <c r="AS278">
        <v>16</v>
      </c>
      <c r="AT278">
        <v>2</v>
      </c>
      <c r="AV278">
        <v>157</v>
      </c>
      <c r="AW278">
        <f>(Table2[[#This Row],[Cr_arm_patient_withdrawal_consent]]+Table2[[#This Row],[Cr_arm_lost_fu]]+Table2[[#This Row],[Cr_am_noncomp]])/Table2[[#This Row],[Cr_am_total_randomized+patients]]</f>
        <v>0.11464968152866242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57</v>
      </c>
      <c r="BI278" t="s">
        <v>54</v>
      </c>
    </row>
    <row r="279" spans="1:61" x14ac:dyDescent="0.2">
      <c r="A279" t="s">
        <v>124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48</v>
      </c>
      <c r="N279">
        <v>1</v>
      </c>
      <c r="O279">
        <v>2.777777777777778E-2</v>
      </c>
      <c r="P279" t="s">
        <v>50</v>
      </c>
      <c r="Q279" t="s">
        <v>50</v>
      </c>
      <c r="R279">
        <v>2</v>
      </c>
      <c r="S279">
        <v>0</v>
      </c>
      <c r="T279" t="s">
        <v>51</v>
      </c>
      <c r="U279" t="s">
        <v>52</v>
      </c>
      <c r="V279" t="s">
        <v>53</v>
      </c>
      <c r="W279">
        <v>928</v>
      </c>
      <c r="X279">
        <v>126</v>
      </c>
      <c r="Y279">
        <v>0.13577586206896552</v>
      </c>
      <c r="Z279">
        <v>72</v>
      </c>
      <c r="AA279">
        <v>0</v>
      </c>
      <c r="AB279">
        <v>0</v>
      </c>
      <c r="AC279">
        <v>0</v>
      </c>
      <c r="AD279">
        <v>0</v>
      </c>
      <c r="AE279">
        <v>3</v>
      </c>
      <c r="AF279">
        <v>0</v>
      </c>
      <c r="AG279">
        <v>0</v>
      </c>
      <c r="AH279">
        <v>38</v>
      </c>
      <c r="AJ279">
        <v>13</v>
      </c>
      <c r="AK279">
        <v>0</v>
      </c>
      <c r="AL279">
        <v>0.11853448275862069</v>
      </c>
      <c r="AN279">
        <v>38</v>
      </c>
      <c r="AO279" s="3">
        <v>0</v>
      </c>
      <c r="AQ279">
        <v>530</v>
      </c>
      <c r="AR279">
        <f>(Table2[[#This Row],[Tx_Arm_Patinet_Withdrawal_Consent]]+Table2[[#This Row],[Tx_am_lost_fu]]+Table2[[#This Row],[Tx_arm_noncomp]])/Table2[[#This Row],[Tx_arm_randomized_to_tx]]</f>
        <v>7.1698113207547168E-2</v>
      </c>
      <c r="AS279">
        <v>34</v>
      </c>
      <c r="AV279">
        <v>398</v>
      </c>
      <c r="AW279">
        <f>(Table2[[#This Row],[Cr_arm_patient_withdrawal_consent]]+Table2[[#This Row],[Cr_arm_lost_fu]]+Table2[[#This Row],[Cr_am_noncomp]])/Table2[[#This Row],[Cr_am_total_randomized+patients]]</f>
        <v>8.5427135678391955E-2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54</v>
      </c>
      <c r="BI279" t="s">
        <v>63</v>
      </c>
    </row>
    <row r="280" spans="1:61" x14ac:dyDescent="0.2">
      <c r="A280" t="s">
        <v>274</v>
      </c>
      <c r="B280">
        <v>1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48</v>
      </c>
      <c r="N280">
        <v>1</v>
      </c>
      <c r="O280">
        <v>3.4833333333333329</v>
      </c>
      <c r="P280" t="s">
        <v>50</v>
      </c>
      <c r="Q280" t="s">
        <v>50</v>
      </c>
      <c r="R280">
        <v>2</v>
      </c>
      <c r="S280">
        <v>0</v>
      </c>
      <c r="T280" t="s">
        <v>65</v>
      </c>
      <c r="U280" t="s">
        <v>52</v>
      </c>
      <c r="V280" t="s">
        <v>53</v>
      </c>
      <c r="W280">
        <v>203</v>
      </c>
      <c r="X280">
        <v>9</v>
      </c>
      <c r="Y280">
        <v>4.4334975369458129E-2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9</v>
      </c>
      <c r="AG280">
        <v>0</v>
      </c>
      <c r="AH280">
        <v>0</v>
      </c>
      <c r="AJ280">
        <v>0</v>
      </c>
      <c r="AK280">
        <v>0</v>
      </c>
      <c r="AL280">
        <v>4.4334975369458129E-2</v>
      </c>
      <c r="AN280">
        <v>0</v>
      </c>
      <c r="AO280" s="3">
        <v>0</v>
      </c>
      <c r="AQ280">
        <v>102</v>
      </c>
      <c r="AR280">
        <f>(Table2[[#This Row],[Tx_Arm_Patinet_Withdrawal_Consent]]+Table2[[#This Row],[Tx_am_lost_fu]]+Table2[[#This Row],[Tx_arm_noncomp]])/Table2[[#This Row],[Tx_arm_randomized_to_tx]]</f>
        <v>0</v>
      </c>
      <c r="AS280">
        <v>0</v>
      </c>
      <c r="AV280">
        <v>101</v>
      </c>
      <c r="AW280">
        <f>(Table2[[#This Row],[Cr_arm_patient_withdrawal_consent]]+Table2[[#This Row],[Cr_arm_lost_fu]]+Table2[[#This Row],[Cr_am_noncomp]])/Table2[[#This Row],[Cr_am_total_randomized+patients]]</f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63</v>
      </c>
      <c r="BI280" t="s">
        <v>54</v>
      </c>
    </row>
    <row r="281" spans="1:61" x14ac:dyDescent="0.2">
      <c r="A281" t="s">
        <v>256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48</v>
      </c>
      <c r="N281">
        <v>1</v>
      </c>
      <c r="O281">
        <v>6.4749999999999996</v>
      </c>
      <c r="P281" t="s">
        <v>50</v>
      </c>
      <c r="Q281" t="s">
        <v>50</v>
      </c>
      <c r="R281">
        <v>1</v>
      </c>
      <c r="S281">
        <v>1</v>
      </c>
      <c r="T281" t="s">
        <v>369</v>
      </c>
      <c r="U281" t="s">
        <v>52</v>
      </c>
      <c r="V281" t="s">
        <v>53</v>
      </c>
      <c r="W281">
        <v>78</v>
      </c>
      <c r="X281">
        <v>60</v>
      </c>
      <c r="Y281">
        <v>0.76923076923076927</v>
      </c>
      <c r="Z281">
        <v>4</v>
      </c>
      <c r="AA281">
        <v>15</v>
      </c>
      <c r="AB281">
        <v>29</v>
      </c>
      <c r="AC281">
        <v>1</v>
      </c>
      <c r="AD281">
        <v>0</v>
      </c>
      <c r="AE281">
        <v>0</v>
      </c>
      <c r="AF281">
        <v>0</v>
      </c>
      <c r="AG281">
        <v>1</v>
      </c>
      <c r="AH281">
        <v>0</v>
      </c>
      <c r="AJ281">
        <v>10</v>
      </c>
      <c r="AK281">
        <v>0</v>
      </c>
      <c r="AL281">
        <v>5.128205128205128E-2</v>
      </c>
      <c r="AN281">
        <v>2</v>
      </c>
      <c r="AO281" s="3">
        <v>0</v>
      </c>
      <c r="AQ281">
        <v>39</v>
      </c>
      <c r="AR281">
        <f>(Table2[[#This Row],[Tx_Arm_Patinet_Withdrawal_Consent]]+Table2[[#This Row],[Tx_am_lost_fu]]+Table2[[#This Row],[Tx_arm_noncomp]])/Table2[[#This Row],[Tx_arm_randomized_to_tx]]</f>
        <v>5.128205128205128E-2</v>
      </c>
      <c r="AS281">
        <v>2</v>
      </c>
      <c r="AV281">
        <v>39</v>
      </c>
      <c r="AW281">
        <f>(Table2[[#This Row],[Cr_arm_patient_withdrawal_consent]]+Table2[[#This Row],[Cr_arm_lost_fu]]+Table2[[#This Row],[Cr_am_noncomp]])/Table2[[#This Row],[Cr_am_total_randomized+patients]]</f>
        <v>5.128205128205128E-2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</v>
      </c>
      <c r="BG281">
        <v>0</v>
      </c>
      <c r="BH281" t="s">
        <v>54</v>
      </c>
      <c r="BI281" t="s">
        <v>54</v>
      </c>
    </row>
    <row r="282" spans="1:61" x14ac:dyDescent="0.2">
      <c r="A282" t="s">
        <v>197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 t="s">
        <v>48</v>
      </c>
      <c r="N282">
        <v>1</v>
      </c>
      <c r="O282">
        <v>4.6166666666666663</v>
      </c>
      <c r="P282" t="s">
        <v>50</v>
      </c>
      <c r="Q282" t="s">
        <v>56</v>
      </c>
      <c r="R282">
        <v>2</v>
      </c>
      <c r="S282">
        <v>0</v>
      </c>
      <c r="T282" t="s">
        <v>51</v>
      </c>
      <c r="U282" t="s">
        <v>52</v>
      </c>
      <c r="V282" t="s">
        <v>53</v>
      </c>
      <c r="W282">
        <v>364</v>
      </c>
      <c r="X282">
        <v>307</v>
      </c>
      <c r="Y282">
        <v>0.84340659340659341</v>
      </c>
      <c r="Z282">
        <v>0</v>
      </c>
      <c r="AA282">
        <v>66</v>
      </c>
      <c r="AB282">
        <v>174</v>
      </c>
      <c r="AC282">
        <v>0</v>
      </c>
      <c r="AD282">
        <v>0</v>
      </c>
      <c r="AE282">
        <v>3</v>
      </c>
      <c r="AF282">
        <v>25</v>
      </c>
      <c r="AG282">
        <v>0</v>
      </c>
      <c r="AH282">
        <v>1</v>
      </c>
      <c r="AJ282">
        <v>38</v>
      </c>
      <c r="AK282">
        <v>0</v>
      </c>
      <c r="AL282">
        <v>7.1428571428571425E-2</v>
      </c>
      <c r="AN282">
        <v>9</v>
      </c>
      <c r="AO282" s="3">
        <v>0</v>
      </c>
      <c r="AP282">
        <v>3</v>
      </c>
      <c r="AQ282">
        <v>242</v>
      </c>
      <c r="AR282">
        <f>(Table2[[#This Row],[Tx_Arm_Patinet_Withdrawal_Consent]]+Table2[[#This Row],[Tx_am_lost_fu]]+Table2[[#This Row],[Tx_arm_noncomp]])/Table2[[#This Row],[Tx_arm_randomized_to_tx]]</f>
        <v>4.9586776859504134E-2</v>
      </c>
      <c r="AS282">
        <v>0</v>
      </c>
      <c r="AT282">
        <v>1</v>
      </c>
      <c r="AU282">
        <v>0</v>
      </c>
      <c r="AV282">
        <v>122</v>
      </c>
      <c r="AW282">
        <f>(Table2[[#This Row],[Cr_arm_patient_withdrawal_consent]]+Table2[[#This Row],[Cr_arm_lost_fu]]+Table2[[#This Row],[Cr_am_noncomp]])/Table2[[#This Row],[Cr_am_total_randomized+patients]]</f>
        <v>8.1967213114754103E-3</v>
      </c>
      <c r="AX282">
        <v>0</v>
      </c>
      <c r="AY282">
        <v>0</v>
      </c>
      <c r="AZ282">
        <v>0</v>
      </c>
      <c r="BA282">
        <v>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 t="s">
        <v>57</v>
      </c>
      <c r="BI282" t="s">
        <v>54</v>
      </c>
    </row>
    <row r="283" spans="1:61" x14ac:dyDescent="0.2">
      <c r="A283" t="s">
        <v>195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48</v>
      </c>
      <c r="N283">
        <v>1</v>
      </c>
      <c r="O283">
        <v>0.1361111111111111</v>
      </c>
      <c r="P283" t="s">
        <v>50</v>
      </c>
      <c r="Q283" t="s">
        <v>50</v>
      </c>
      <c r="R283">
        <v>3</v>
      </c>
      <c r="S283">
        <v>0</v>
      </c>
      <c r="T283" t="s">
        <v>65</v>
      </c>
      <c r="U283" t="s">
        <v>90</v>
      </c>
      <c r="V283" t="s">
        <v>53</v>
      </c>
      <c r="W283">
        <v>1516</v>
      </c>
      <c r="X283">
        <v>577</v>
      </c>
      <c r="Y283">
        <v>0.38060686015831136</v>
      </c>
      <c r="Z283">
        <v>104</v>
      </c>
      <c r="AA283">
        <v>198</v>
      </c>
      <c r="AB283">
        <v>167</v>
      </c>
      <c r="AC283">
        <v>13</v>
      </c>
      <c r="AD283">
        <v>12</v>
      </c>
      <c r="AE283">
        <v>1</v>
      </c>
      <c r="AF283">
        <v>5</v>
      </c>
      <c r="AG283">
        <v>62</v>
      </c>
      <c r="AH283">
        <v>0</v>
      </c>
      <c r="AJ283">
        <v>15</v>
      </c>
      <c r="AK283">
        <v>0</v>
      </c>
      <c r="AL283">
        <v>7.1899736147757257E-2</v>
      </c>
      <c r="AN283">
        <v>54</v>
      </c>
      <c r="AO283" s="3">
        <v>0</v>
      </c>
      <c r="AQ283">
        <v>1516</v>
      </c>
      <c r="AR283">
        <f>(Table2[[#This Row],[Tx_Arm_Patinet_Withdrawal_Consent]]+Table2[[#This Row],[Tx_am_lost_fu]]+Table2[[#This Row],[Tx_arm_noncomp]])/Table2[[#This Row],[Tx_arm_randomized_to_tx]]</f>
        <v>3.5620052770448551E-2</v>
      </c>
      <c r="AS283" t="s">
        <v>373</v>
      </c>
      <c r="AT283" t="s">
        <v>373</v>
      </c>
      <c r="AU283" t="s">
        <v>373</v>
      </c>
      <c r="AV283" t="s">
        <v>373</v>
      </c>
      <c r="AW283" t="e">
        <f>(Table2[[#This Row],[Cr_arm_patient_withdrawal_consent]]+Table2[[#This Row],[Cr_arm_lost_fu]]+Table2[[#This Row],[Cr_am_noncomp]])/Table2[[#This Row],[Cr_am_total_randomized+patients]]</f>
        <v>#VALUE!</v>
      </c>
      <c r="AX283">
        <v>0</v>
      </c>
      <c r="AY283">
        <v>0</v>
      </c>
      <c r="AZ283">
        <v>0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57</v>
      </c>
      <c r="BI283" t="s">
        <v>63</v>
      </c>
    </row>
    <row r="284" spans="1:61" x14ac:dyDescent="0.2">
      <c r="A284" t="s">
        <v>76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 t="s">
        <v>48</v>
      </c>
      <c r="N284">
        <v>1</v>
      </c>
      <c r="O284">
        <v>7.0944444444444441</v>
      </c>
      <c r="P284" t="s">
        <v>56</v>
      </c>
      <c r="Q284" t="s">
        <v>50</v>
      </c>
      <c r="R284">
        <v>2</v>
      </c>
      <c r="S284">
        <v>0</v>
      </c>
      <c r="T284" t="s">
        <v>51</v>
      </c>
      <c r="U284" t="s">
        <v>52</v>
      </c>
      <c r="V284" t="s">
        <v>53</v>
      </c>
      <c r="W284">
        <v>255</v>
      </c>
      <c r="X284">
        <v>246</v>
      </c>
      <c r="Y284">
        <v>0.96470588235294119</v>
      </c>
      <c r="Z284">
        <v>36</v>
      </c>
      <c r="AA284">
        <v>23</v>
      </c>
      <c r="AB284">
        <v>129</v>
      </c>
      <c r="AC284">
        <v>0</v>
      </c>
      <c r="AD284">
        <v>0</v>
      </c>
      <c r="AE284">
        <v>0</v>
      </c>
      <c r="AF284">
        <v>15</v>
      </c>
      <c r="AG284">
        <v>28</v>
      </c>
      <c r="AH284">
        <v>0</v>
      </c>
      <c r="AJ284">
        <v>15</v>
      </c>
      <c r="AK284">
        <v>0</v>
      </c>
      <c r="AL284">
        <v>0.2</v>
      </c>
      <c r="AN284">
        <v>24</v>
      </c>
      <c r="AO284" s="3">
        <v>0</v>
      </c>
      <c r="AQ284">
        <v>171</v>
      </c>
      <c r="AR284">
        <f>(Table2[[#This Row],[Tx_Arm_Patinet_Withdrawal_Consent]]+Table2[[#This Row],[Tx_am_lost_fu]]+Table2[[#This Row],[Tx_arm_noncomp]])/Table2[[#This Row],[Tx_arm_randomized_to_tx]]</f>
        <v>0.14035087719298245</v>
      </c>
      <c r="AS284">
        <v>12</v>
      </c>
      <c r="AV284">
        <v>84</v>
      </c>
      <c r="AW284">
        <f>(Table2[[#This Row],[Cr_arm_patient_withdrawal_consent]]+Table2[[#This Row],[Cr_arm_lost_fu]]+Table2[[#This Row],[Cr_am_noncomp]])/Table2[[#This Row],[Cr_am_total_randomized+patients]]</f>
        <v>0.14285714285714285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  <c r="BF284">
        <v>0</v>
      </c>
      <c r="BG284">
        <v>0</v>
      </c>
      <c r="BH284" t="s">
        <v>54</v>
      </c>
      <c r="BI284" t="s">
        <v>54</v>
      </c>
    </row>
    <row r="285" spans="1:61" x14ac:dyDescent="0.2">
      <c r="A285" t="s">
        <v>103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48</v>
      </c>
      <c r="N285">
        <v>1</v>
      </c>
      <c r="O285">
        <v>3.469444444444445</v>
      </c>
      <c r="P285" t="s">
        <v>56</v>
      </c>
      <c r="Q285" t="s">
        <v>56</v>
      </c>
      <c r="R285">
        <v>1</v>
      </c>
      <c r="S285">
        <v>1</v>
      </c>
      <c r="T285" t="s">
        <v>65</v>
      </c>
      <c r="U285" t="s">
        <v>52</v>
      </c>
      <c r="V285" t="s">
        <v>53</v>
      </c>
      <c r="W285">
        <v>3649</v>
      </c>
      <c r="X285">
        <v>2252</v>
      </c>
      <c r="Y285">
        <v>0.61715538503699641</v>
      </c>
      <c r="Z285">
        <v>485</v>
      </c>
      <c r="AA285">
        <v>452</v>
      </c>
      <c r="AB285">
        <v>370</v>
      </c>
      <c r="AC285">
        <v>205</v>
      </c>
      <c r="AD285">
        <v>0</v>
      </c>
      <c r="AE285">
        <v>1</v>
      </c>
      <c r="AF285">
        <v>0</v>
      </c>
      <c r="AG285">
        <v>7</v>
      </c>
      <c r="AH285">
        <v>25</v>
      </c>
      <c r="AI285">
        <v>499</v>
      </c>
      <c r="AJ285">
        <v>208</v>
      </c>
      <c r="AK285">
        <v>0</v>
      </c>
      <c r="AL285">
        <v>0.13976431899150452</v>
      </c>
      <c r="AN285">
        <v>8</v>
      </c>
      <c r="AO285" s="3">
        <v>0</v>
      </c>
      <c r="AQ285">
        <v>1824</v>
      </c>
      <c r="AR285">
        <f>(Table2[[#This Row],[Tx_Arm_Patinet_Withdrawal_Consent]]+Table2[[#This Row],[Tx_am_lost_fu]]+Table2[[#This Row],[Tx_arm_noncomp]])/Table2[[#This Row],[Tx_arm_randomized_to_tx]]</f>
        <v>4.3859649122807015E-3</v>
      </c>
      <c r="AS285">
        <v>9</v>
      </c>
      <c r="AV285">
        <v>1825</v>
      </c>
      <c r="AW285">
        <f>(Table2[[#This Row],[Cr_arm_patient_withdrawal_consent]]+Table2[[#This Row],[Cr_arm_lost_fu]]+Table2[[#This Row],[Cr_am_noncomp]])/Table2[[#This Row],[Cr_am_total_randomized+patients]]</f>
        <v>4.9315068493150684E-3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0</v>
      </c>
      <c r="BG285">
        <v>1</v>
      </c>
      <c r="BH285" t="s">
        <v>54</v>
      </c>
      <c r="BI285" t="s">
        <v>54</v>
      </c>
    </row>
    <row r="286" spans="1:61" x14ac:dyDescent="0.2">
      <c r="A286" s="5" t="s">
        <v>64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48</v>
      </c>
      <c r="N286">
        <v>1</v>
      </c>
      <c r="O286">
        <v>5.833333333333333</v>
      </c>
      <c r="P286" t="s">
        <v>61</v>
      </c>
      <c r="Q286" t="s">
        <v>50</v>
      </c>
      <c r="R286">
        <v>3</v>
      </c>
      <c r="S286">
        <v>0</v>
      </c>
      <c r="T286" t="s">
        <v>65</v>
      </c>
      <c r="U286" t="s">
        <v>52</v>
      </c>
      <c r="V286" t="s">
        <v>53</v>
      </c>
      <c r="W286">
        <v>235</v>
      </c>
      <c r="X286">
        <v>235</v>
      </c>
      <c r="Y286">
        <v>1</v>
      </c>
      <c r="Z286">
        <v>49</v>
      </c>
      <c r="AA286">
        <v>64</v>
      </c>
      <c r="AB286">
        <v>79</v>
      </c>
      <c r="AC286">
        <v>5</v>
      </c>
      <c r="AD286">
        <v>12</v>
      </c>
      <c r="AE286">
        <v>1</v>
      </c>
      <c r="AF286">
        <v>19</v>
      </c>
      <c r="AG286">
        <v>5</v>
      </c>
      <c r="AH286">
        <v>0</v>
      </c>
      <c r="AJ286">
        <v>1</v>
      </c>
      <c r="AK286">
        <v>0</v>
      </c>
      <c r="AL286">
        <v>0.28936170212765955</v>
      </c>
      <c r="AM286" t="s">
        <v>385</v>
      </c>
      <c r="AN286">
        <v>16</v>
      </c>
      <c r="AQ286">
        <v>118</v>
      </c>
      <c r="AR286" s="8">
        <f>(Table2[[#This Row],[Tx_Arm_Patinet_Withdrawal_Consent]]+Table2[[#This Row],[Tx_am_lost_fu]]+Table2[[#This Row],[Tx_arm_noncomp]])/Table2[[#This Row],[Tx_arm_randomized_to_tx]]</f>
        <v>0.13559322033898305</v>
      </c>
      <c r="AS286">
        <v>16</v>
      </c>
      <c r="AV286">
        <v>117</v>
      </c>
      <c r="AW286" s="8">
        <f>(Table2[[#This Row],[Cr_arm_patient_withdrawal_consent]]+Table2[[#This Row],[Cr_arm_lost_fu]]+Table2[[#This Row],[Cr_am_noncomp]])/Table2[[#This Row],[Cr_am_total_randomized+patients]]</f>
        <v>0.13675213675213677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 t="s">
        <v>54</v>
      </c>
      <c r="BI286" t="s">
        <v>63</v>
      </c>
    </row>
    <row r="287" spans="1:61" x14ac:dyDescent="0.2">
      <c r="A287" t="s">
        <v>110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 t="s">
        <v>48</v>
      </c>
      <c r="N287">
        <v>1</v>
      </c>
      <c r="O287">
        <v>11.91666666666667</v>
      </c>
      <c r="P287" t="s">
        <v>50</v>
      </c>
      <c r="Q287" t="s">
        <v>50</v>
      </c>
      <c r="R287">
        <v>1</v>
      </c>
      <c r="S287">
        <v>1</v>
      </c>
      <c r="T287" t="s">
        <v>65</v>
      </c>
      <c r="U287" t="s">
        <v>90</v>
      </c>
      <c r="V287" t="s">
        <v>53</v>
      </c>
      <c r="W287">
        <v>506</v>
      </c>
      <c r="X287">
        <v>469</v>
      </c>
      <c r="Y287">
        <v>0.9268774703557312</v>
      </c>
      <c r="Z287">
        <v>67</v>
      </c>
      <c r="AA287">
        <v>96</v>
      </c>
      <c r="AB287">
        <v>231</v>
      </c>
      <c r="AC287">
        <v>7</v>
      </c>
      <c r="AD287">
        <v>16</v>
      </c>
      <c r="AE287">
        <v>0</v>
      </c>
      <c r="AF287">
        <v>0</v>
      </c>
      <c r="AG287">
        <v>13</v>
      </c>
      <c r="AH287">
        <v>0</v>
      </c>
      <c r="AJ287">
        <v>39</v>
      </c>
      <c r="AK287">
        <v>0</v>
      </c>
      <c r="AL287">
        <v>0.1324110671936759</v>
      </c>
      <c r="AN287">
        <v>35</v>
      </c>
      <c r="AO287" s="3">
        <v>0</v>
      </c>
      <c r="AQ287">
        <v>252</v>
      </c>
      <c r="AR287">
        <f>(Table2[[#This Row],[Tx_Arm_Patinet_Withdrawal_Consent]]+Table2[[#This Row],[Tx_am_lost_fu]]+Table2[[#This Row],[Tx_arm_noncomp]])/Table2[[#This Row],[Tx_arm_randomized_to_tx]]</f>
        <v>0.1388888888888889</v>
      </c>
      <c r="AS287">
        <v>32</v>
      </c>
      <c r="AV287">
        <v>254</v>
      </c>
      <c r="AW287">
        <f>(Table2[[#This Row],[Cr_arm_patient_withdrawal_consent]]+Table2[[#This Row],[Cr_arm_lost_fu]]+Table2[[#This Row],[Cr_am_noncomp]])/Table2[[#This Row],[Cr_am_total_randomized+patients]]</f>
        <v>0.12598425196850394</v>
      </c>
      <c r="AX287">
        <v>0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 t="s">
        <v>57</v>
      </c>
      <c r="BI287" t="s">
        <v>63</v>
      </c>
    </row>
    <row r="288" spans="1:61" x14ac:dyDescent="0.2">
      <c r="A288" t="s">
        <v>264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 t="s">
        <v>48</v>
      </c>
      <c r="N288">
        <v>1</v>
      </c>
      <c r="O288">
        <v>9.3305555555555557</v>
      </c>
      <c r="P288" t="s">
        <v>61</v>
      </c>
      <c r="Q288" t="s">
        <v>56</v>
      </c>
      <c r="R288">
        <v>3</v>
      </c>
      <c r="S288">
        <v>0</v>
      </c>
      <c r="T288" t="s">
        <v>368</v>
      </c>
      <c r="U288" t="s">
        <v>52</v>
      </c>
      <c r="V288" t="s">
        <v>53</v>
      </c>
      <c r="W288">
        <v>187</v>
      </c>
      <c r="X288">
        <v>69</v>
      </c>
      <c r="Y288">
        <v>0.36898395721925131</v>
      </c>
      <c r="Z288">
        <v>10</v>
      </c>
      <c r="AA288">
        <v>11</v>
      </c>
      <c r="AB288">
        <v>31</v>
      </c>
      <c r="AC288">
        <v>12</v>
      </c>
      <c r="AD288">
        <v>0</v>
      </c>
      <c r="AE288">
        <v>0</v>
      </c>
      <c r="AF288">
        <v>0</v>
      </c>
      <c r="AG288">
        <v>0</v>
      </c>
      <c r="AH288">
        <v>0</v>
      </c>
      <c r="AJ288">
        <v>5</v>
      </c>
      <c r="AK288">
        <v>0</v>
      </c>
      <c r="AL288">
        <v>5.3475935828877004E-2</v>
      </c>
      <c r="AN288">
        <v>9</v>
      </c>
      <c r="AO288" s="3">
        <v>0</v>
      </c>
      <c r="AQ288">
        <v>93</v>
      </c>
      <c r="AR288">
        <f>(Table2[[#This Row],[Tx_Arm_Patinet_Withdrawal_Consent]]+Table2[[#This Row],[Tx_am_lost_fu]]+Table2[[#This Row],[Tx_arm_noncomp]])/Table2[[#This Row],[Tx_arm_randomized_to_tx]]</f>
        <v>9.6774193548387094E-2</v>
      </c>
      <c r="AS288">
        <v>0</v>
      </c>
      <c r="AV288">
        <v>94</v>
      </c>
      <c r="AW288">
        <f>(Table2[[#This Row],[Cr_arm_patient_withdrawal_consent]]+Table2[[#This Row],[Cr_arm_lost_fu]]+Table2[[#This Row],[Cr_am_noncomp]])/Table2[[#This Row],[Cr_am_total_randomized+patients]]</f>
        <v>0</v>
      </c>
      <c r="AX288">
        <v>0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57</v>
      </c>
      <c r="BI288" t="s">
        <v>57</v>
      </c>
    </row>
    <row r="289" spans="1:61" x14ac:dyDescent="0.2">
      <c r="A289" t="s">
        <v>334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48</v>
      </c>
      <c r="N289">
        <v>1</v>
      </c>
      <c r="O289">
        <v>4.083333333333333</v>
      </c>
      <c r="P289" t="s">
        <v>56</v>
      </c>
      <c r="Q289" t="s">
        <v>56</v>
      </c>
      <c r="R289">
        <v>1</v>
      </c>
      <c r="S289">
        <v>1</v>
      </c>
      <c r="T289" t="s">
        <v>51</v>
      </c>
      <c r="U289" t="s">
        <v>52</v>
      </c>
      <c r="V289" t="s">
        <v>53</v>
      </c>
      <c r="W289">
        <v>317</v>
      </c>
      <c r="X289">
        <v>317</v>
      </c>
      <c r="Y289">
        <v>1</v>
      </c>
      <c r="Z289">
        <v>7</v>
      </c>
      <c r="AA289">
        <v>76</v>
      </c>
      <c r="AB289">
        <v>168</v>
      </c>
      <c r="AC289">
        <v>0</v>
      </c>
      <c r="AD289">
        <v>0</v>
      </c>
      <c r="AE289">
        <v>0</v>
      </c>
      <c r="AF289">
        <v>0</v>
      </c>
      <c r="AG289">
        <v>4</v>
      </c>
      <c r="AH289">
        <v>2</v>
      </c>
      <c r="AJ289">
        <v>60</v>
      </c>
      <c r="AK289">
        <v>0</v>
      </c>
      <c r="AL289">
        <v>2.8391167192429023E-2</v>
      </c>
      <c r="AN289">
        <v>4</v>
      </c>
      <c r="AO289" s="3">
        <v>0</v>
      </c>
      <c r="AQ289">
        <v>160</v>
      </c>
      <c r="AR289">
        <f>(Table2[[#This Row],[Tx_Arm_Patinet_Withdrawal_Consent]]+Table2[[#This Row],[Tx_am_lost_fu]]+Table2[[#This Row],[Tx_arm_noncomp]])/Table2[[#This Row],[Tx_arm_randomized_to_tx]]</f>
        <v>2.5000000000000001E-2</v>
      </c>
      <c r="AS289">
        <v>2</v>
      </c>
      <c r="AV289">
        <v>154</v>
      </c>
      <c r="AW289">
        <f>(Table2[[#This Row],[Cr_arm_patient_withdrawal_consent]]+Table2[[#This Row],[Cr_arm_lost_fu]]+Table2[[#This Row],[Cr_am_noncomp]])/Table2[[#This Row],[Cr_am_total_randomized+patients]]</f>
        <v>1.2987012987012988E-2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 t="s">
        <v>54</v>
      </c>
      <c r="BI289" t="s">
        <v>54</v>
      </c>
    </row>
    <row r="290" spans="1:61" x14ac:dyDescent="0.2">
      <c r="A290" t="s">
        <v>319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 t="s">
        <v>48</v>
      </c>
      <c r="N290">
        <v>1</v>
      </c>
      <c r="O290" t="s">
        <v>49</v>
      </c>
      <c r="P290" t="s">
        <v>50</v>
      </c>
      <c r="Q290" t="s">
        <v>50</v>
      </c>
      <c r="R290">
        <v>2</v>
      </c>
      <c r="S290">
        <v>0</v>
      </c>
      <c r="T290" t="s">
        <v>51</v>
      </c>
      <c r="U290" t="s">
        <v>52</v>
      </c>
      <c r="V290" t="s">
        <v>53</v>
      </c>
      <c r="W290">
        <v>487</v>
      </c>
      <c r="X290">
        <v>93</v>
      </c>
      <c r="Y290">
        <v>0.19096509240246407</v>
      </c>
      <c r="Z290">
        <v>15</v>
      </c>
      <c r="AA290">
        <v>38</v>
      </c>
      <c r="AB290">
        <v>9</v>
      </c>
      <c r="AC290">
        <v>0</v>
      </c>
      <c r="AD290">
        <v>0</v>
      </c>
      <c r="AE290">
        <v>0</v>
      </c>
      <c r="AF290">
        <v>0</v>
      </c>
      <c r="AG290">
        <v>18</v>
      </c>
      <c r="AH290">
        <v>0</v>
      </c>
      <c r="AJ290">
        <v>13</v>
      </c>
      <c r="AK290">
        <v>0</v>
      </c>
      <c r="AL290">
        <v>3.0800821355236138E-2</v>
      </c>
      <c r="AN290">
        <v>2</v>
      </c>
      <c r="AO290" s="3">
        <v>0</v>
      </c>
      <c r="AQ290">
        <v>243</v>
      </c>
      <c r="AR290">
        <f>(Table2[[#This Row],[Tx_Arm_Patinet_Withdrawal_Consent]]+Table2[[#This Row],[Tx_am_lost_fu]]+Table2[[#This Row],[Tx_arm_noncomp]])/Table2[[#This Row],[Tx_arm_randomized_to_tx]]</f>
        <v>8.23045267489712E-3</v>
      </c>
      <c r="AS290">
        <v>3</v>
      </c>
      <c r="AV290">
        <v>244</v>
      </c>
      <c r="AW290">
        <f>(Table2[[#This Row],[Cr_arm_patient_withdrawal_consent]]+Table2[[#This Row],[Cr_arm_lost_fu]]+Table2[[#This Row],[Cr_am_noncomp]])/Table2[[#This Row],[Cr_am_total_randomized+patients]]</f>
        <v>1.2295081967213115E-2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54</v>
      </c>
      <c r="BI290" t="s">
        <v>54</v>
      </c>
    </row>
    <row r="291" spans="1:61" x14ac:dyDescent="0.2">
      <c r="A291" t="s">
        <v>270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 t="s">
        <v>48</v>
      </c>
      <c r="N291">
        <v>1</v>
      </c>
      <c r="O291">
        <v>12.02777777777778</v>
      </c>
      <c r="P291" t="s">
        <v>50</v>
      </c>
      <c r="Q291" t="s">
        <v>50</v>
      </c>
      <c r="R291">
        <v>2</v>
      </c>
      <c r="S291">
        <v>0</v>
      </c>
      <c r="T291" t="s">
        <v>368</v>
      </c>
      <c r="U291" t="s">
        <v>52</v>
      </c>
      <c r="V291" t="s">
        <v>53</v>
      </c>
      <c r="W291">
        <v>262</v>
      </c>
      <c r="X291">
        <v>69</v>
      </c>
      <c r="Y291">
        <v>0.26335877862595419</v>
      </c>
      <c r="Z291">
        <v>3</v>
      </c>
      <c r="AA291">
        <v>29</v>
      </c>
      <c r="AB291">
        <v>0</v>
      </c>
      <c r="AC291">
        <v>0</v>
      </c>
      <c r="AD291">
        <v>1</v>
      </c>
      <c r="AE291">
        <v>22</v>
      </c>
      <c r="AF291">
        <v>9</v>
      </c>
      <c r="AG291">
        <v>5</v>
      </c>
      <c r="AH291">
        <v>0</v>
      </c>
      <c r="AJ291">
        <v>0</v>
      </c>
      <c r="AK291">
        <v>0</v>
      </c>
      <c r="AL291">
        <v>4.5801526717557252E-2</v>
      </c>
      <c r="AN291">
        <v>1</v>
      </c>
      <c r="AO291" s="3">
        <v>0</v>
      </c>
      <c r="AQ291">
        <v>129</v>
      </c>
      <c r="AR291">
        <f>(Table2[[#This Row],[Tx_Arm_Patinet_Withdrawal_Consent]]+Table2[[#This Row],[Tx_am_lost_fu]]+Table2[[#This Row],[Tx_arm_noncomp]])/Table2[[#This Row],[Tx_arm_randomized_to_tx]]</f>
        <v>7.7519379844961239E-3</v>
      </c>
      <c r="AS291">
        <v>2</v>
      </c>
      <c r="AV291">
        <v>133</v>
      </c>
      <c r="AW291">
        <f>(Table2[[#This Row],[Cr_arm_patient_withdrawal_consent]]+Table2[[#This Row],[Cr_arm_lost_fu]]+Table2[[#This Row],[Cr_am_noncomp]])/Table2[[#This Row],[Cr_am_total_randomized+patients]]</f>
        <v>1.5037593984962405E-2</v>
      </c>
      <c r="AX291">
        <v>0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57</v>
      </c>
      <c r="BI291" t="s">
        <v>57</v>
      </c>
    </row>
    <row r="292" spans="1:61" x14ac:dyDescent="0.2">
      <c r="A292" t="s">
        <v>193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48</v>
      </c>
      <c r="N292">
        <v>1</v>
      </c>
      <c r="O292" t="s">
        <v>49</v>
      </c>
      <c r="P292" t="s">
        <v>50</v>
      </c>
      <c r="Q292" t="s">
        <v>50</v>
      </c>
      <c r="R292">
        <v>2</v>
      </c>
      <c r="S292">
        <v>0</v>
      </c>
      <c r="T292" t="s">
        <v>247</v>
      </c>
      <c r="U292" t="s">
        <v>52</v>
      </c>
      <c r="V292" t="s">
        <v>53</v>
      </c>
      <c r="W292">
        <v>762</v>
      </c>
      <c r="X292">
        <v>185</v>
      </c>
      <c r="Y292">
        <v>0.24278215223097113</v>
      </c>
      <c r="Z292">
        <v>5</v>
      </c>
      <c r="AA292">
        <v>0</v>
      </c>
      <c r="AB292">
        <v>2</v>
      </c>
      <c r="AC292">
        <v>0</v>
      </c>
      <c r="AD292">
        <v>0</v>
      </c>
      <c r="AE292">
        <v>0</v>
      </c>
      <c r="AF292">
        <v>1</v>
      </c>
      <c r="AG292">
        <v>104</v>
      </c>
      <c r="AH292">
        <v>49</v>
      </c>
      <c r="AJ292">
        <v>2</v>
      </c>
      <c r="AK292">
        <v>22</v>
      </c>
      <c r="AL292">
        <v>7.217847769028872E-2</v>
      </c>
      <c r="AN292">
        <v>2</v>
      </c>
      <c r="AO292" s="3">
        <v>0</v>
      </c>
      <c r="AQ292">
        <v>364</v>
      </c>
      <c r="AR292">
        <f>(Table2[[#This Row],[Tx_Arm_Patinet_Withdrawal_Consent]]+Table2[[#This Row],[Tx_am_lost_fu]]+Table2[[#This Row],[Tx_arm_noncomp]])/Table2[[#This Row],[Tx_arm_randomized_to_tx]]</f>
        <v>5.4945054945054949E-3</v>
      </c>
      <c r="AS292">
        <v>3</v>
      </c>
      <c r="AV292">
        <v>398</v>
      </c>
      <c r="AW292">
        <f>(Table2[[#This Row],[Cr_arm_patient_withdrawal_consent]]+Table2[[#This Row],[Cr_arm_lost_fu]]+Table2[[#This Row],[Cr_am_noncomp]])/Table2[[#This Row],[Cr_am_total_randomized+patients]]</f>
        <v>7.537688442211055E-3</v>
      </c>
      <c r="AX292">
        <v>0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 t="s">
        <v>57</v>
      </c>
      <c r="BI292" t="s">
        <v>57</v>
      </c>
    </row>
    <row r="293" spans="1:61" x14ac:dyDescent="0.2">
      <c r="A293" t="s">
        <v>254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 t="s">
        <v>48</v>
      </c>
      <c r="N293">
        <v>1</v>
      </c>
      <c r="O293">
        <v>14.33333333333333</v>
      </c>
      <c r="P293" t="s">
        <v>50</v>
      </c>
      <c r="Q293" t="s">
        <v>50</v>
      </c>
      <c r="R293">
        <v>2</v>
      </c>
      <c r="S293">
        <v>0</v>
      </c>
      <c r="T293" t="s">
        <v>65</v>
      </c>
      <c r="U293" t="s">
        <v>52</v>
      </c>
      <c r="V293" t="s">
        <v>53</v>
      </c>
      <c r="W293">
        <v>652</v>
      </c>
      <c r="X293">
        <v>564</v>
      </c>
      <c r="Y293">
        <v>0.86503067484662577</v>
      </c>
      <c r="Z293">
        <v>149</v>
      </c>
      <c r="AA293">
        <v>7</v>
      </c>
      <c r="AB293">
        <v>81</v>
      </c>
      <c r="AC293">
        <v>0</v>
      </c>
      <c r="AD293">
        <v>0</v>
      </c>
      <c r="AE293">
        <v>194</v>
      </c>
      <c r="AF293">
        <v>118</v>
      </c>
      <c r="AG293">
        <v>14</v>
      </c>
      <c r="AH293">
        <v>1</v>
      </c>
      <c r="AJ293">
        <v>0</v>
      </c>
      <c r="AK293">
        <v>0</v>
      </c>
      <c r="AL293">
        <v>0.41104294478527609</v>
      </c>
      <c r="AN293">
        <v>0</v>
      </c>
      <c r="AO293" s="3">
        <v>0</v>
      </c>
      <c r="AQ293">
        <v>176</v>
      </c>
      <c r="AR293">
        <f>(Table2[[#This Row],[Tx_Arm_Patinet_Withdrawal_Consent]]+Table2[[#This Row],[Tx_am_lost_fu]]+Table2[[#This Row],[Tx_arm_noncomp]])/Table2[[#This Row],[Tx_arm_randomized_to_tx]]</f>
        <v>0</v>
      </c>
      <c r="AS293">
        <v>0</v>
      </c>
      <c r="AV293">
        <v>179</v>
      </c>
      <c r="AW293">
        <f>(Table2[[#This Row],[Cr_arm_patient_withdrawal_consent]]+Table2[[#This Row],[Cr_arm_lost_fu]]+Table2[[#This Row],[Cr_am_noncomp]])/Table2[[#This Row],[Cr_am_total_randomized+patients]]</f>
        <v>0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57</v>
      </c>
      <c r="BI293" t="s">
        <v>63</v>
      </c>
    </row>
    <row r="294" spans="1:61" x14ac:dyDescent="0.2">
      <c r="A294" t="s">
        <v>246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48</v>
      </c>
      <c r="N294">
        <v>1</v>
      </c>
      <c r="O294">
        <v>0.43333333333333329</v>
      </c>
      <c r="P294" t="s">
        <v>56</v>
      </c>
      <c r="Q294" t="s">
        <v>56</v>
      </c>
      <c r="R294">
        <v>1</v>
      </c>
      <c r="S294">
        <v>1</v>
      </c>
      <c r="T294" t="s">
        <v>247</v>
      </c>
      <c r="U294" t="s">
        <v>52</v>
      </c>
      <c r="V294" t="s">
        <v>53</v>
      </c>
      <c r="W294">
        <v>406</v>
      </c>
      <c r="X294">
        <v>61</v>
      </c>
      <c r="Y294">
        <v>0.15024630541871922</v>
      </c>
      <c r="Z294">
        <v>22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J294">
        <v>36</v>
      </c>
      <c r="AK294">
        <v>0</v>
      </c>
      <c r="AL294">
        <v>5.4187192118226604E-2</v>
      </c>
      <c r="AN294">
        <v>11</v>
      </c>
      <c r="AO294" s="3">
        <v>0</v>
      </c>
      <c r="AQ294">
        <v>201</v>
      </c>
      <c r="AR294">
        <f>(Table2[[#This Row],[Tx_Arm_Patinet_Withdrawal_Consent]]+Table2[[#This Row],[Tx_am_lost_fu]]+Table2[[#This Row],[Tx_arm_noncomp]])/Table2[[#This Row],[Tx_arm_randomized_to_tx]]</f>
        <v>5.4726368159203981E-2</v>
      </c>
      <c r="AS294">
        <v>11</v>
      </c>
      <c r="AV294">
        <v>205</v>
      </c>
      <c r="AW294">
        <f>(Table2[[#This Row],[Cr_arm_patient_withdrawal_consent]]+Table2[[#This Row],[Cr_arm_lost_fu]]+Table2[[#This Row],[Cr_am_noncomp]])/Table2[[#This Row],[Cr_am_total_randomized+patients]]</f>
        <v>5.3658536585365853E-2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</v>
      </c>
      <c r="BG294">
        <v>0</v>
      </c>
      <c r="BH294" t="s">
        <v>54</v>
      </c>
      <c r="BI294" t="s">
        <v>54</v>
      </c>
    </row>
    <row r="295" spans="1:61" x14ac:dyDescent="0.2">
      <c r="A295" t="s">
        <v>55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48</v>
      </c>
      <c r="N295">
        <v>1</v>
      </c>
      <c r="O295">
        <v>13.330555555555559</v>
      </c>
      <c r="P295" t="s">
        <v>56</v>
      </c>
      <c r="Q295" t="s">
        <v>56</v>
      </c>
      <c r="R295">
        <v>2</v>
      </c>
      <c r="S295">
        <v>0</v>
      </c>
      <c r="T295" t="s">
        <v>51</v>
      </c>
      <c r="U295" t="s">
        <v>52</v>
      </c>
      <c r="V295" t="s">
        <v>53</v>
      </c>
      <c r="W295">
        <v>3484</v>
      </c>
      <c r="X295">
        <v>1768</v>
      </c>
      <c r="Y295">
        <v>0.5074626865671642</v>
      </c>
      <c r="Z295">
        <v>87</v>
      </c>
      <c r="AA295">
        <v>0</v>
      </c>
      <c r="AB295">
        <v>0</v>
      </c>
      <c r="AC295">
        <v>0</v>
      </c>
      <c r="AD295">
        <v>0</v>
      </c>
      <c r="AE295">
        <v>62</v>
      </c>
      <c r="AF295">
        <v>1173</v>
      </c>
      <c r="AG295">
        <v>413</v>
      </c>
      <c r="AH295">
        <v>14</v>
      </c>
      <c r="AJ295">
        <v>19</v>
      </c>
      <c r="AK295">
        <v>0</v>
      </c>
      <c r="AL295">
        <v>0.36567164179104478</v>
      </c>
      <c r="AN295">
        <v>50</v>
      </c>
      <c r="AO295" s="3">
        <v>0</v>
      </c>
      <c r="AP295">
        <v>32</v>
      </c>
      <c r="AQ295">
        <v>1738</v>
      </c>
      <c r="AR295">
        <f>(Table2[[#This Row],[Tx_Arm_Patinet_Withdrawal_Consent]]+Table2[[#This Row],[Tx_am_lost_fu]]+Table2[[#This Row],[Tx_arm_noncomp]])/Table2[[#This Row],[Tx_arm_randomized_to_tx]]</f>
        <v>4.7180667433831994E-2</v>
      </c>
      <c r="AS295">
        <v>37</v>
      </c>
      <c r="AT295">
        <v>0</v>
      </c>
      <c r="AU295">
        <v>32</v>
      </c>
      <c r="AV295">
        <v>1732</v>
      </c>
      <c r="AW295">
        <f>(Table2[[#This Row],[Cr_arm_patient_withdrawal_consent]]+Table2[[#This Row],[Cr_arm_lost_fu]]+Table2[[#This Row],[Cr_am_noncomp]])/Table2[[#This Row],[Cr_am_total_randomized+patients]]</f>
        <v>3.9838337182448037E-2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57</v>
      </c>
      <c r="BI295" t="s">
        <v>57</v>
      </c>
    </row>
    <row r="296" spans="1:61" x14ac:dyDescent="0.2">
      <c r="A296" s="5" t="s">
        <v>199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 t="s">
        <v>48</v>
      </c>
      <c r="N296">
        <v>1</v>
      </c>
      <c r="O296">
        <v>14.54166666666667</v>
      </c>
      <c r="P296" t="s">
        <v>56</v>
      </c>
      <c r="Q296" t="s">
        <v>50</v>
      </c>
      <c r="R296">
        <v>2</v>
      </c>
      <c r="S296">
        <v>0</v>
      </c>
      <c r="T296" t="s">
        <v>51</v>
      </c>
      <c r="U296" t="s">
        <v>90</v>
      </c>
      <c r="V296" t="s">
        <v>53</v>
      </c>
      <c r="W296">
        <v>636</v>
      </c>
      <c r="X296">
        <v>556</v>
      </c>
      <c r="Y296">
        <v>0.87421383647798745</v>
      </c>
      <c r="Z296">
        <v>45</v>
      </c>
      <c r="AA296">
        <v>68</v>
      </c>
      <c r="AB296">
        <v>443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>
        <v>0</v>
      </c>
      <c r="AK296">
        <v>0</v>
      </c>
      <c r="AL296">
        <v>7.0754716981132074E-2</v>
      </c>
      <c r="AM296" t="s">
        <v>385</v>
      </c>
      <c r="AN296" t="s">
        <v>373</v>
      </c>
      <c r="AO296" s="3">
        <v>0</v>
      </c>
      <c r="AQ296">
        <v>319</v>
      </c>
      <c r="AR296" s="8" t="e">
        <f>(Table2[[#This Row],[Tx_Arm_Patinet_Withdrawal_Consent]]+Table2[[#This Row],[Tx_am_lost_fu]]+Table2[[#This Row],[Tx_arm_noncomp]])/Table2[[#This Row],[Tx_arm_randomized_to_tx]]</f>
        <v>#VALUE!</v>
      </c>
      <c r="AS296" t="s">
        <v>373</v>
      </c>
      <c r="AV296">
        <v>317</v>
      </c>
      <c r="AW296" s="8" t="e">
        <f>(Table2[[#This Row],[Cr_arm_patient_withdrawal_consent]]+Table2[[#This Row],[Cr_arm_lost_fu]]+Table2[[#This Row],[Cr_am_noncomp]])/Table2[[#This Row],[Cr_am_total_randomized+patients]]</f>
        <v>#VALUE!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54</v>
      </c>
      <c r="BI296" t="s">
        <v>54</v>
      </c>
    </row>
    <row r="297" spans="1:61" x14ac:dyDescent="0.2">
      <c r="A297" t="s">
        <v>250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48</v>
      </c>
      <c r="N297">
        <v>1</v>
      </c>
      <c r="O297">
        <v>4</v>
      </c>
      <c r="P297" t="s">
        <v>61</v>
      </c>
      <c r="Q297" t="s">
        <v>56</v>
      </c>
      <c r="R297">
        <v>1</v>
      </c>
      <c r="S297">
        <v>1</v>
      </c>
      <c r="T297" t="s">
        <v>65</v>
      </c>
      <c r="U297" t="s">
        <v>52</v>
      </c>
      <c r="V297" t="s">
        <v>53</v>
      </c>
      <c r="W297">
        <v>876</v>
      </c>
      <c r="X297">
        <v>135</v>
      </c>
      <c r="Y297">
        <v>0.1541095890410959</v>
      </c>
      <c r="Z297">
        <v>39</v>
      </c>
      <c r="AA297">
        <v>35</v>
      </c>
      <c r="AB297">
        <v>22</v>
      </c>
      <c r="AC297">
        <v>1</v>
      </c>
      <c r="AD297">
        <v>0</v>
      </c>
      <c r="AE297">
        <v>0</v>
      </c>
      <c r="AF297">
        <v>6</v>
      </c>
      <c r="AG297">
        <v>0</v>
      </c>
      <c r="AH297">
        <v>2</v>
      </c>
      <c r="AJ297">
        <v>30</v>
      </c>
      <c r="AK297">
        <v>0</v>
      </c>
      <c r="AL297">
        <v>5.3652968036529677E-2</v>
      </c>
      <c r="AN297">
        <v>33</v>
      </c>
      <c r="AO297" s="3">
        <v>1</v>
      </c>
      <c r="AP297">
        <v>5</v>
      </c>
      <c r="AQ297">
        <v>448</v>
      </c>
      <c r="AR297">
        <f>(Table2[[#This Row],[Tx_Arm_Patinet_Withdrawal_Consent]]+Table2[[#This Row],[Tx_am_lost_fu]]+Table2[[#This Row],[Tx_arm_noncomp]])/Table2[[#This Row],[Tx_arm_randomized_to_tx]]</f>
        <v>8.7053571428571425E-2</v>
      </c>
      <c r="AS297">
        <v>6</v>
      </c>
      <c r="AT297">
        <v>1</v>
      </c>
      <c r="AU297">
        <v>1</v>
      </c>
      <c r="AV297">
        <v>428</v>
      </c>
      <c r="AW297">
        <f>(Table2[[#This Row],[Cr_arm_patient_withdrawal_consent]]+Table2[[#This Row],[Cr_arm_lost_fu]]+Table2[[#This Row],[Cr_am_noncomp]])/Table2[[#This Row],[Cr_am_total_randomized+patients]]</f>
        <v>1.8691588785046728E-2</v>
      </c>
      <c r="AX297">
        <v>0</v>
      </c>
      <c r="AY297">
        <v>0</v>
      </c>
      <c r="AZ297">
        <v>0</v>
      </c>
      <c r="BA297">
        <v>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 t="s">
        <v>54</v>
      </c>
      <c r="BI297" t="s">
        <v>57</v>
      </c>
    </row>
    <row r="298" spans="1:61" x14ac:dyDescent="0.2">
      <c r="A298" t="s">
        <v>307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48</v>
      </c>
      <c r="N298">
        <v>1</v>
      </c>
      <c r="O298">
        <v>9.7222222222222224E-2</v>
      </c>
      <c r="P298" t="s">
        <v>56</v>
      </c>
      <c r="Q298" t="s">
        <v>56</v>
      </c>
      <c r="R298">
        <v>2</v>
      </c>
      <c r="S298">
        <v>0</v>
      </c>
      <c r="T298" t="s">
        <v>368</v>
      </c>
      <c r="U298" t="s">
        <v>90</v>
      </c>
      <c r="V298" t="s">
        <v>73</v>
      </c>
      <c r="W298">
        <v>350</v>
      </c>
      <c r="X298">
        <v>39</v>
      </c>
      <c r="Y298">
        <v>0.11142857142857143</v>
      </c>
      <c r="Z298">
        <v>10</v>
      </c>
      <c r="AA298">
        <v>17</v>
      </c>
      <c r="AB298">
        <v>0</v>
      </c>
      <c r="AC298">
        <v>4</v>
      </c>
      <c r="AD298">
        <v>0</v>
      </c>
      <c r="AE298">
        <v>4</v>
      </c>
      <c r="AF298">
        <v>4</v>
      </c>
      <c r="AG298">
        <v>0</v>
      </c>
      <c r="AH298">
        <v>0</v>
      </c>
      <c r="AJ298">
        <v>0</v>
      </c>
      <c r="AK298">
        <v>0</v>
      </c>
      <c r="AL298">
        <v>0.04</v>
      </c>
      <c r="AN298">
        <v>5</v>
      </c>
      <c r="AO298" s="3">
        <v>0</v>
      </c>
      <c r="AQ298">
        <v>175</v>
      </c>
      <c r="AR298">
        <f>(Table2[[#This Row],[Tx_Arm_Patinet_Withdrawal_Consent]]+Table2[[#This Row],[Tx_am_lost_fu]]+Table2[[#This Row],[Tx_arm_noncomp]])/Table2[[#This Row],[Tx_arm_randomized_to_tx]]</f>
        <v>2.8571428571428571E-2</v>
      </c>
      <c r="AS298">
        <v>4</v>
      </c>
      <c r="AV298">
        <v>175</v>
      </c>
      <c r="AW298">
        <f>(Table2[[#This Row],[Cr_arm_patient_withdrawal_consent]]+Table2[[#This Row],[Cr_arm_lost_fu]]+Table2[[#This Row],[Cr_am_noncomp]])/Table2[[#This Row],[Cr_am_total_randomized+patients]]</f>
        <v>2.2857142857142857E-2</v>
      </c>
      <c r="AX298">
        <v>0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 t="s">
        <v>57</v>
      </c>
      <c r="BI298" t="s">
        <v>54</v>
      </c>
    </row>
    <row r="299" spans="1:61" x14ac:dyDescent="0.2">
      <c r="A299" t="s">
        <v>140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48</v>
      </c>
      <c r="N299">
        <v>1</v>
      </c>
      <c r="O299">
        <v>2</v>
      </c>
      <c r="P299" t="s">
        <v>56</v>
      </c>
      <c r="Q299" t="s">
        <v>50</v>
      </c>
      <c r="R299">
        <v>2</v>
      </c>
      <c r="S299">
        <v>0</v>
      </c>
      <c r="T299" t="s">
        <v>65</v>
      </c>
      <c r="U299" t="s">
        <v>90</v>
      </c>
      <c r="V299" t="s">
        <v>73</v>
      </c>
      <c r="W299">
        <v>179</v>
      </c>
      <c r="X299">
        <v>49</v>
      </c>
      <c r="Y299">
        <v>0.27374301675977653</v>
      </c>
      <c r="Z299">
        <v>18</v>
      </c>
      <c r="AA299">
        <v>19</v>
      </c>
      <c r="AB299">
        <v>2</v>
      </c>
      <c r="AC299">
        <v>0</v>
      </c>
      <c r="AD299">
        <v>2</v>
      </c>
      <c r="AE299">
        <v>2</v>
      </c>
      <c r="AF299">
        <v>0</v>
      </c>
      <c r="AG299">
        <v>2</v>
      </c>
      <c r="AH299">
        <v>0</v>
      </c>
      <c r="AJ299">
        <v>4</v>
      </c>
      <c r="AK299">
        <v>0</v>
      </c>
      <c r="AL299">
        <v>0.1005586592178771</v>
      </c>
      <c r="AN299">
        <v>12</v>
      </c>
      <c r="AO299" s="3">
        <v>0</v>
      </c>
      <c r="AQ299">
        <v>117</v>
      </c>
      <c r="AR299">
        <f>(Table2[[#This Row],[Tx_Arm_Patinet_Withdrawal_Consent]]+Table2[[#This Row],[Tx_am_lost_fu]]+Table2[[#This Row],[Tx_arm_noncomp]])/Table2[[#This Row],[Tx_arm_randomized_to_tx]]</f>
        <v>0.10256410256410256</v>
      </c>
      <c r="AS299">
        <v>6</v>
      </c>
      <c r="AV299">
        <v>62</v>
      </c>
      <c r="AW299">
        <f>(Table2[[#This Row],[Cr_arm_patient_withdrawal_consent]]+Table2[[#This Row],[Cr_arm_lost_fu]]+Table2[[#This Row],[Cr_am_noncomp]])/Table2[[#This Row],[Cr_am_total_randomized+patients]]</f>
        <v>9.6774193548387094E-2</v>
      </c>
      <c r="AX299">
        <v>0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57</v>
      </c>
      <c r="BI299" t="s">
        <v>54</v>
      </c>
    </row>
    <row r="300" spans="1:61" x14ac:dyDescent="0.2">
      <c r="A300" t="s">
        <v>361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48</v>
      </c>
      <c r="N300">
        <v>1</v>
      </c>
      <c r="O300">
        <v>2.0583333333333331</v>
      </c>
      <c r="P300" t="s">
        <v>56</v>
      </c>
      <c r="Q300" t="s">
        <v>50</v>
      </c>
      <c r="R300">
        <v>2</v>
      </c>
      <c r="S300">
        <v>0</v>
      </c>
      <c r="T300" t="s">
        <v>65</v>
      </c>
      <c r="U300" t="s">
        <v>52</v>
      </c>
      <c r="V300" t="s">
        <v>53</v>
      </c>
      <c r="W300">
        <v>588</v>
      </c>
      <c r="X300">
        <v>9</v>
      </c>
      <c r="Y300">
        <v>1.5306122448979591E-2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6</v>
      </c>
      <c r="AG300">
        <v>0</v>
      </c>
      <c r="AH300">
        <v>0</v>
      </c>
      <c r="AJ300">
        <v>0</v>
      </c>
      <c r="AK300">
        <v>0</v>
      </c>
      <c r="AL300">
        <v>1.5306122448979591E-2</v>
      </c>
      <c r="AN300">
        <v>2</v>
      </c>
      <c r="AO300" s="3">
        <v>0</v>
      </c>
      <c r="AQ300">
        <v>292</v>
      </c>
      <c r="AR300">
        <f>(Table2[[#This Row],[Tx_Arm_Patinet_Withdrawal_Consent]]+Table2[[#This Row],[Tx_am_lost_fu]]+Table2[[#This Row],[Tx_arm_noncomp]])/Table2[[#This Row],[Tx_arm_randomized_to_tx]]</f>
        <v>6.8493150684931503E-3</v>
      </c>
      <c r="AS300">
        <v>1</v>
      </c>
      <c r="AV300">
        <v>296</v>
      </c>
      <c r="AW300">
        <f>(Table2[[#This Row],[Cr_arm_patient_withdrawal_consent]]+Table2[[#This Row],[Cr_arm_lost_fu]]+Table2[[#This Row],[Cr_am_noncomp]])/Table2[[#This Row],[Cr_am_total_randomized+patients]]</f>
        <v>3.3783783783783786E-3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0</v>
      </c>
      <c r="BG300">
        <v>0</v>
      </c>
      <c r="BH300" t="s">
        <v>54</v>
      </c>
      <c r="BI300" t="s">
        <v>63</v>
      </c>
    </row>
    <row r="301" spans="1:61" x14ac:dyDescent="0.2">
      <c r="A301" t="s">
        <v>314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48</v>
      </c>
      <c r="N301">
        <v>1</v>
      </c>
      <c r="O301">
        <v>18.544444444444441</v>
      </c>
      <c r="P301" t="s">
        <v>50</v>
      </c>
      <c r="Q301" t="s">
        <v>50</v>
      </c>
      <c r="R301">
        <v>2</v>
      </c>
      <c r="S301">
        <v>0</v>
      </c>
      <c r="T301" t="s">
        <v>65</v>
      </c>
      <c r="U301" t="s">
        <v>90</v>
      </c>
      <c r="V301" t="s">
        <v>53</v>
      </c>
      <c r="W301">
        <v>983</v>
      </c>
      <c r="X301">
        <v>191</v>
      </c>
      <c r="Y301">
        <v>0.19430315361139369</v>
      </c>
      <c r="Z301">
        <v>32</v>
      </c>
      <c r="AA301">
        <v>124</v>
      </c>
      <c r="AB301">
        <v>13</v>
      </c>
      <c r="AC301">
        <v>0</v>
      </c>
      <c r="AD301">
        <v>0</v>
      </c>
      <c r="AE301">
        <v>22</v>
      </c>
      <c r="AF301">
        <v>0</v>
      </c>
      <c r="AG301">
        <v>0</v>
      </c>
      <c r="AH301">
        <v>0</v>
      </c>
      <c r="AJ301">
        <v>0</v>
      </c>
      <c r="AK301">
        <v>0</v>
      </c>
      <c r="AL301">
        <v>3.2553407934893183E-2</v>
      </c>
      <c r="AN301">
        <v>21</v>
      </c>
      <c r="AO301" s="3">
        <v>0</v>
      </c>
      <c r="AQ301">
        <v>480</v>
      </c>
      <c r="AR301">
        <f>(Table2[[#This Row],[Tx_Arm_Patinet_Withdrawal_Consent]]+Table2[[#This Row],[Tx_am_lost_fu]]+Table2[[#This Row],[Tx_arm_noncomp]])/Table2[[#This Row],[Tx_arm_randomized_to_tx]]</f>
        <v>4.3749999999999997E-2</v>
      </c>
      <c r="AS301">
        <v>11</v>
      </c>
      <c r="AV301">
        <v>481</v>
      </c>
      <c r="AW301">
        <f>(Table2[[#This Row],[Cr_arm_patient_withdrawal_consent]]+Table2[[#This Row],[Cr_arm_lost_fu]]+Table2[[#This Row],[Cr_am_noncomp]])/Table2[[#This Row],[Cr_am_total_randomized+patients]]</f>
        <v>2.286902286902287E-2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54</v>
      </c>
      <c r="BI301" t="s">
        <v>57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2024-12-31T15:01:30Z</dcterms:created>
  <dcterms:modified xsi:type="dcterms:W3CDTF">2025-05-15T18:14:03Z</dcterms:modified>
</cp:coreProperties>
</file>
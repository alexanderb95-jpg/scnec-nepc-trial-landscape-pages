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2371DF96-A73F-4D43-9891-338BD7ED4BAC}" xr6:coauthVersionLast="47" xr6:coauthVersionMax="47" xr10:uidLastSave="{00000000-0000-0000-0000-000000000000}"/>
  <bookViews>
    <workbookView xWindow="5520" yWindow="840" windowWidth="20100" windowHeight="15940" xr2:uid="{DE841B47-2F93-0D4C-A1D2-8A60A21F045A}"/>
  </bookViews>
  <sheets>
    <sheet name="Sheet1" sheetId="1" r:id="rId1"/>
    <sheet name="Sheet2" sheetId="2" r:id="rId2"/>
  </sheets>
  <definedNames>
    <definedName name="_xlnm._FilterDatabase" localSheetId="0" hidden="1">Sheet1!$A$1:$J$232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2" i="2" l="1"/>
  <c r="I232" i="2"/>
  <c r="H232" i="2"/>
  <c r="G232" i="2"/>
  <c r="F232" i="2"/>
  <c r="E232" i="2"/>
  <c r="J231" i="2"/>
  <c r="I231" i="2"/>
  <c r="H231" i="2"/>
  <c r="G231" i="2"/>
  <c r="F231" i="2"/>
  <c r="E231" i="2"/>
  <c r="J230" i="2"/>
  <c r="I230" i="2"/>
  <c r="H230" i="2"/>
  <c r="G230" i="2"/>
  <c r="F230" i="2"/>
  <c r="E230" i="2"/>
  <c r="J229" i="2"/>
  <c r="I229" i="2"/>
  <c r="H229" i="2"/>
  <c r="G229" i="2"/>
  <c r="F229" i="2"/>
  <c r="E229" i="2"/>
  <c r="J228" i="2"/>
  <c r="I228" i="2"/>
  <c r="H228" i="2"/>
  <c r="G228" i="2"/>
  <c r="F228" i="2"/>
  <c r="E228" i="2"/>
  <c r="J227" i="2"/>
  <c r="I227" i="2"/>
  <c r="H227" i="2"/>
  <c r="G227" i="2"/>
  <c r="F227" i="2"/>
  <c r="E227" i="2"/>
  <c r="J226" i="2"/>
  <c r="I226" i="2"/>
  <c r="H226" i="2"/>
  <c r="G226" i="2"/>
  <c r="F226" i="2"/>
  <c r="E226" i="2"/>
  <c r="J225" i="2"/>
  <c r="I225" i="2"/>
  <c r="H225" i="2"/>
  <c r="G225" i="2"/>
  <c r="F225" i="2"/>
  <c r="E225" i="2"/>
  <c r="J224" i="2"/>
  <c r="I224" i="2"/>
  <c r="H224" i="2"/>
  <c r="G224" i="2"/>
  <c r="F224" i="2"/>
  <c r="E224" i="2"/>
  <c r="J223" i="2"/>
  <c r="I223" i="2"/>
  <c r="H223" i="2"/>
  <c r="G223" i="2"/>
  <c r="F223" i="2"/>
  <c r="E223" i="2"/>
  <c r="J222" i="2"/>
  <c r="I222" i="2"/>
  <c r="H222" i="2"/>
  <c r="G222" i="2"/>
  <c r="F222" i="2"/>
  <c r="E222" i="2"/>
  <c r="J221" i="2"/>
  <c r="I221" i="2"/>
  <c r="H221" i="2"/>
  <c r="G221" i="2"/>
  <c r="F221" i="2"/>
  <c r="E221" i="2"/>
  <c r="J220" i="2"/>
  <c r="I220" i="2"/>
  <c r="H220" i="2"/>
  <c r="G220" i="2"/>
  <c r="F220" i="2"/>
  <c r="E220" i="2"/>
  <c r="J219" i="2"/>
  <c r="I219" i="2"/>
  <c r="H219" i="2"/>
  <c r="G219" i="2"/>
  <c r="F219" i="2"/>
  <c r="E219" i="2"/>
  <c r="J218" i="2"/>
  <c r="I218" i="2"/>
  <c r="H218" i="2"/>
  <c r="G218" i="2"/>
  <c r="F218" i="2"/>
  <c r="E218" i="2"/>
  <c r="J217" i="2"/>
  <c r="I217" i="2"/>
  <c r="H217" i="2"/>
  <c r="G217" i="2"/>
  <c r="F217" i="2"/>
  <c r="E217" i="2"/>
  <c r="J216" i="2"/>
  <c r="I216" i="2"/>
  <c r="H216" i="2"/>
  <c r="G216" i="2"/>
  <c r="F216" i="2"/>
  <c r="E216" i="2"/>
  <c r="J215" i="2"/>
  <c r="I215" i="2"/>
  <c r="H215" i="2"/>
  <c r="G215" i="2"/>
  <c r="F215" i="2"/>
  <c r="E215" i="2"/>
  <c r="J214" i="2"/>
  <c r="I214" i="2"/>
  <c r="H214" i="2"/>
  <c r="G214" i="2"/>
  <c r="F214" i="2"/>
  <c r="E214" i="2"/>
  <c r="J213" i="2"/>
  <c r="I213" i="2"/>
  <c r="H213" i="2"/>
  <c r="G213" i="2"/>
  <c r="F213" i="2"/>
  <c r="E213" i="2"/>
  <c r="J212" i="2"/>
  <c r="I212" i="2"/>
  <c r="H212" i="2"/>
  <c r="G212" i="2"/>
  <c r="F212" i="2"/>
  <c r="E212" i="2"/>
  <c r="J211" i="2"/>
  <c r="I211" i="2"/>
  <c r="H211" i="2"/>
  <c r="G211" i="2"/>
  <c r="F211" i="2"/>
  <c r="E211" i="2"/>
  <c r="J210" i="2"/>
  <c r="I210" i="2"/>
  <c r="H210" i="2"/>
  <c r="G210" i="2"/>
  <c r="F210" i="2"/>
  <c r="E210" i="2"/>
  <c r="J209" i="2"/>
  <c r="I209" i="2"/>
  <c r="H209" i="2"/>
  <c r="G209" i="2"/>
  <c r="F209" i="2"/>
  <c r="E209" i="2"/>
  <c r="J208" i="2"/>
  <c r="I208" i="2"/>
  <c r="H208" i="2"/>
  <c r="G208" i="2"/>
  <c r="F208" i="2"/>
  <c r="E208" i="2"/>
  <c r="J207" i="2"/>
  <c r="I207" i="2"/>
  <c r="H207" i="2"/>
  <c r="G207" i="2"/>
  <c r="F207" i="2"/>
  <c r="E207" i="2"/>
  <c r="J206" i="2"/>
  <c r="I206" i="2"/>
  <c r="H206" i="2"/>
  <c r="G206" i="2"/>
  <c r="F206" i="2"/>
  <c r="E206" i="2"/>
  <c r="J205" i="2"/>
  <c r="I205" i="2"/>
  <c r="H205" i="2"/>
  <c r="G205" i="2"/>
  <c r="F205" i="2"/>
  <c r="E205" i="2"/>
  <c r="J204" i="2"/>
  <c r="I204" i="2"/>
  <c r="H204" i="2"/>
  <c r="G204" i="2"/>
  <c r="F204" i="2"/>
  <c r="E204" i="2"/>
  <c r="J203" i="2"/>
  <c r="I203" i="2"/>
  <c r="H203" i="2"/>
  <c r="G203" i="2"/>
  <c r="F203" i="2"/>
  <c r="E203" i="2"/>
  <c r="J202" i="2"/>
  <c r="I202" i="2"/>
  <c r="H202" i="2"/>
  <c r="G202" i="2"/>
  <c r="F202" i="2"/>
  <c r="E202" i="2"/>
  <c r="J201" i="2"/>
  <c r="I201" i="2"/>
  <c r="H201" i="2"/>
  <c r="G201" i="2"/>
  <c r="F201" i="2"/>
  <c r="E201" i="2"/>
  <c r="J200" i="2"/>
  <c r="I200" i="2"/>
  <c r="H200" i="2"/>
  <c r="G200" i="2"/>
  <c r="F200" i="2"/>
  <c r="E200" i="2"/>
  <c r="J199" i="2"/>
  <c r="I199" i="2"/>
  <c r="H199" i="2"/>
  <c r="G199" i="2"/>
  <c r="F199" i="2"/>
  <c r="E199" i="2"/>
  <c r="J198" i="2"/>
  <c r="I198" i="2"/>
  <c r="H198" i="2"/>
  <c r="G198" i="2"/>
  <c r="F198" i="2"/>
  <c r="E198" i="2"/>
  <c r="J197" i="2"/>
  <c r="I197" i="2"/>
  <c r="H197" i="2"/>
  <c r="G197" i="2"/>
  <c r="F197" i="2"/>
  <c r="E197" i="2"/>
  <c r="J196" i="2"/>
  <c r="I196" i="2"/>
  <c r="H196" i="2"/>
  <c r="G196" i="2"/>
  <c r="F196" i="2"/>
  <c r="E196" i="2"/>
  <c r="J195" i="2"/>
  <c r="I195" i="2"/>
  <c r="H195" i="2"/>
  <c r="G195" i="2"/>
  <c r="F195" i="2"/>
  <c r="E195" i="2"/>
  <c r="J194" i="2"/>
  <c r="I194" i="2"/>
  <c r="H194" i="2"/>
  <c r="G194" i="2"/>
  <c r="F194" i="2"/>
  <c r="E194" i="2"/>
  <c r="J193" i="2"/>
  <c r="I193" i="2"/>
  <c r="H193" i="2"/>
  <c r="G193" i="2"/>
  <c r="F193" i="2"/>
  <c r="E193" i="2"/>
  <c r="J192" i="2"/>
  <c r="I192" i="2"/>
  <c r="H192" i="2"/>
  <c r="G192" i="2"/>
  <c r="F192" i="2"/>
  <c r="E192" i="2"/>
  <c r="J191" i="2"/>
  <c r="I191" i="2"/>
  <c r="H191" i="2"/>
  <c r="G191" i="2"/>
  <c r="F191" i="2"/>
  <c r="E191" i="2"/>
  <c r="J190" i="2"/>
  <c r="I190" i="2"/>
  <c r="H190" i="2"/>
  <c r="G190" i="2"/>
  <c r="F190" i="2"/>
  <c r="E190" i="2"/>
  <c r="J189" i="2"/>
  <c r="I189" i="2"/>
  <c r="H189" i="2"/>
  <c r="G189" i="2"/>
  <c r="F189" i="2"/>
  <c r="E189" i="2"/>
  <c r="J188" i="2"/>
  <c r="I188" i="2"/>
  <c r="H188" i="2"/>
  <c r="G188" i="2"/>
  <c r="F188" i="2"/>
  <c r="E188" i="2"/>
  <c r="J187" i="2"/>
  <c r="I187" i="2"/>
  <c r="H187" i="2"/>
  <c r="G187" i="2"/>
  <c r="F187" i="2"/>
  <c r="E187" i="2"/>
  <c r="J186" i="2"/>
  <c r="I186" i="2"/>
  <c r="H186" i="2"/>
  <c r="G186" i="2"/>
  <c r="F186" i="2"/>
  <c r="E186" i="2"/>
  <c r="J185" i="2"/>
  <c r="I185" i="2"/>
  <c r="H185" i="2"/>
  <c r="G185" i="2"/>
  <c r="F185" i="2"/>
  <c r="E185" i="2"/>
  <c r="J184" i="2"/>
  <c r="I184" i="2"/>
  <c r="H184" i="2"/>
  <c r="G184" i="2"/>
  <c r="F184" i="2"/>
  <c r="E184" i="2"/>
  <c r="J183" i="2"/>
  <c r="I183" i="2"/>
  <c r="H183" i="2"/>
  <c r="G183" i="2"/>
  <c r="F183" i="2"/>
  <c r="E183" i="2"/>
  <c r="J182" i="2"/>
  <c r="I182" i="2"/>
  <c r="H182" i="2"/>
  <c r="G182" i="2"/>
  <c r="F182" i="2"/>
  <c r="E182" i="2"/>
  <c r="J181" i="2"/>
  <c r="I181" i="2"/>
  <c r="H181" i="2"/>
  <c r="G181" i="2"/>
  <c r="F181" i="2"/>
  <c r="E181" i="2"/>
  <c r="J180" i="2"/>
  <c r="I180" i="2"/>
  <c r="H180" i="2"/>
  <c r="G180" i="2"/>
  <c r="F180" i="2"/>
  <c r="E180" i="2"/>
  <c r="J179" i="2"/>
  <c r="I179" i="2"/>
  <c r="H179" i="2"/>
  <c r="G179" i="2"/>
  <c r="F179" i="2"/>
  <c r="E179" i="2"/>
  <c r="J178" i="2"/>
  <c r="I178" i="2"/>
  <c r="H178" i="2"/>
  <c r="G178" i="2"/>
  <c r="F178" i="2"/>
  <c r="E178" i="2"/>
  <c r="J177" i="2"/>
  <c r="I177" i="2"/>
  <c r="H177" i="2"/>
  <c r="G177" i="2"/>
  <c r="F177" i="2"/>
  <c r="E177" i="2"/>
  <c r="J176" i="2"/>
  <c r="I176" i="2"/>
  <c r="H176" i="2"/>
  <c r="G176" i="2"/>
  <c r="F176" i="2"/>
  <c r="E176" i="2"/>
  <c r="J175" i="2"/>
  <c r="I175" i="2"/>
  <c r="H175" i="2"/>
  <c r="G175" i="2"/>
  <c r="F175" i="2"/>
  <c r="E175" i="2"/>
  <c r="J174" i="2"/>
  <c r="I174" i="2"/>
  <c r="H174" i="2"/>
  <c r="G174" i="2"/>
  <c r="F174" i="2"/>
  <c r="E174" i="2"/>
  <c r="J173" i="2"/>
  <c r="I173" i="2"/>
  <c r="H173" i="2"/>
  <c r="G173" i="2"/>
  <c r="F173" i="2"/>
  <c r="E173" i="2"/>
  <c r="J172" i="2"/>
  <c r="I172" i="2"/>
  <c r="H172" i="2"/>
  <c r="G172" i="2"/>
  <c r="F172" i="2"/>
  <c r="E172" i="2"/>
  <c r="J171" i="2"/>
  <c r="I171" i="2"/>
  <c r="H171" i="2"/>
  <c r="G171" i="2"/>
  <c r="F171" i="2"/>
  <c r="E171" i="2"/>
  <c r="J170" i="2"/>
  <c r="I170" i="2"/>
  <c r="H170" i="2"/>
  <c r="G170" i="2"/>
  <c r="F170" i="2"/>
  <c r="E170" i="2"/>
  <c r="J169" i="2"/>
  <c r="I169" i="2"/>
  <c r="H169" i="2"/>
  <c r="G169" i="2"/>
  <c r="F169" i="2"/>
  <c r="E169" i="2"/>
  <c r="J168" i="2"/>
  <c r="I168" i="2"/>
  <c r="H168" i="2"/>
  <c r="G168" i="2"/>
  <c r="F168" i="2"/>
  <c r="E168" i="2"/>
  <c r="J167" i="2"/>
  <c r="I167" i="2"/>
  <c r="H167" i="2"/>
  <c r="G167" i="2"/>
  <c r="F167" i="2"/>
  <c r="E167" i="2"/>
  <c r="J166" i="2"/>
  <c r="I166" i="2"/>
  <c r="H166" i="2"/>
  <c r="G166" i="2"/>
  <c r="F166" i="2"/>
  <c r="E166" i="2"/>
  <c r="J165" i="2"/>
  <c r="I165" i="2"/>
  <c r="H165" i="2"/>
  <c r="G165" i="2"/>
  <c r="F165" i="2"/>
  <c r="E165" i="2"/>
  <c r="J164" i="2"/>
  <c r="I164" i="2"/>
  <c r="H164" i="2"/>
  <c r="G164" i="2"/>
  <c r="F164" i="2"/>
  <c r="E164" i="2"/>
  <c r="J163" i="2"/>
  <c r="I163" i="2"/>
  <c r="H163" i="2"/>
  <c r="G163" i="2"/>
  <c r="F163" i="2"/>
  <c r="E163" i="2"/>
  <c r="J162" i="2"/>
  <c r="I162" i="2"/>
  <c r="H162" i="2"/>
  <c r="G162" i="2"/>
  <c r="F162" i="2"/>
  <c r="E162" i="2"/>
  <c r="J161" i="2"/>
  <c r="I161" i="2"/>
  <c r="H161" i="2"/>
  <c r="G161" i="2"/>
  <c r="F161" i="2"/>
  <c r="E161" i="2"/>
  <c r="J160" i="2"/>
  <c r="I160" i="2"/>
  <c r="H160" i="2"/>
  <c r="G160" i="2"/>
  <c r="F160" i="2"/>
  <c r="E160" i="2"/>
  <c r="J159" i="2"/>
  <c r="I159" i="2"/>
  <c r="H159" i="2"/>
  <c r="G159" i="2"/>
  <c r="F159" i="2"/>
  <c r="E159" i="2"/>
  <c r="J158" i="2"/>
  <c r="I158" i="2"/>
  <c r="H158" i="2"/>
  <c r="G158" i="2"/>
  <c r="F158" i="2"/>
  <c r="E158" i="2"/>
  <c r="J157" i="2"/>
  <c r="I157" i="2"/>
  <c r="H157" i="2"/>
  <c r="G157" i="2"/>
  <c r="F157" i="2"/>
  <c r="E157" i="2"/>
  <c r="J156" i="2"/>
  <c r="I156" i="2"/>
  <c r="H156" i="2"/>
  <c r="G156" i="2"/>
  <c r="F156" i="2"/>
  <c r="E156" i="2"/>
  <c r="J155" i="2"/>
  <c r="I155" i="2"/>
  <c r="H155" i="2"/>
  <c r="G155" i="2"/>
  <c r="F155" i="2"/>
  <c r="E155" i="2"/>
  <c r="J154" i="2"/>
  <c r="I154" i="2"/>
  <c r="H154" i="2"/>
  <c r="G154" i="2"/>
  <c r="F154" i="2"/>
  <c r="E154" i="2"/>
  <c r="J153" i="2"/>
  <c r="I153" i="2"/>
  <c r="H153" i="2"/>
  <c r="G153" i="2"/>
  <c r="F153" i="2"/>
  <c r="E153" i="2"/>
  <c r="J152" i="2"/>
  <c r="I152" i="2"/>
  <c r="H152" i="2"/>
  <c r="G152" i="2"/>
  <c r="F152" i="2"/>
  <c r="E152" i="2"/>
  <c r="J151" i="2"/>
  <c r="I151" i="2"/>
  <c r="H151" i="2"/>
  <c r="G151" i="2"/>
  <c r="F151" i="2"/>
  <c r="E151" i="2"/>
  <c r="J150" i="2"/>
  <c r="I150" i="2"/>
  <c r="H150" i="2"/>
  <c r="G150" i="2"/>
  <c r="F150" i="2"/>
  <c r="E150" i="2"/>
  <c r="J149" i="2"/>
  <c r="I149" i="2"/>
  <c r="H149" i="2"/>
  <c r="G149" i="2"/>
  <c r="F149" i="2"/>
  <c r="E149" i="2"/>
  <c r="J148" i="2"/>
  <c r="I148" i="2"/>
  <c r="H148" i="2"/>
  <c r="G148" i="2"/>
  <c r="F148" i="2"/>
  <c r="E148" i="2"/>
  <c r="J147" i="2"/>
  <c r="I147" i="2"/>
  <c r="H147" i="2"/>
  <c r="G147" i="2"/>
  <c r="F147" i="2"/>
  <c r="E147" i="2"/>
  <c r="J146" i="2"/>
  <c r="I146" i="2"/>
  <c r="H146" i="2"/>
  <c r="G146" i="2"/>
  <c r="F146" i="2"/>
  <c r="E146" i="2"/>
  <c r="J145" i="2"/>
  <c r="I145" i="2"/>
  <c r="H145" i="2"/>
  <c r="G145" i="2"/>
  <c r="F145" i="2"/>
  <c r="E145" i="2"/>
  <c r="J144" i="2"/>
  <c r="I144" i="2"/>
  <c r="H144" i="2"/>
  <c r="G144" i="2"/>
  <c r="F144" i="2"/>
  <c r="E144" i="2"/>
  <c r="J143" i="2"/>
  <c r="I143" i="2"/>
  <c r="H143" i="2"/>
  <c r="G143" i="2"/>
  <c r="F143" i="2"/>
  <c r="E143" i="2"/>
  <c r="J142" i="2"/>
  <c r="I142" i="2"/>
  <c r="H142" i="2"/>
  <c r="G142" i="2"/>
  <c r="F142" i="2"/>
  <c r="E142" i="2"/>
  <c r="J141" i="2"/>
  <c r="I141" i="2"/>
  <c r="H141" i="2"/>
  <c r="G141" i="2"/>
  <c r="F141" i="2"/>
  <c r="E141" i="2"/>
  <c r="J140" i="2"/>
  <c r="I140" i="2"/>
  <c r="H140" i="2"/>
  <c r="G140" i="2"/>
  <c r="F140" i="2"/>
  <c r="E140" i="2"/>
  <c r="J139" i="2"/>
  <c r="I139" i="2"/>
  <c r="H139" i="2"/>
  <c r="G139" i="2"/>
  <c r="F139" i="2"/>
  <c r="E139" i="2"/>
  <c r="J138" i="2"/>
  <c r="I138" i="2"/>
  <c r="H138" i="2"/>
  <c r="G138" i="2"/>
  <c r="F138" i="2"/>
  <c r="E138" i="2"/>
  <c r="J137" i="2"/>
  <c r="I137" i="2"/>
  <c r="H137" i="2"/>
  <c r="G137" i="2"/>
  <c r="F137" i="2"/>
  <c r="E137" i="2"/>
  <c r="J136" i="2"/>
  <c r="I136" i="2"/>
  <c r="H136" i="2"/>
  <c r="G136" i="2"/>
  <c r="F136" i="2"/>
  <c r="E136" i="2"/>
  <c r="J135" i="2"/>
  <c r="I135" i="2"/>
  <c r="H135" i="2"/>
  <c r="G135" i="2"/>
  <c r="F135" i="2"/>
  <c r="E135" i="2"/>
  <c r="J134" i="2"/>
  <c r="I134" i="2"/>
  <c r="H134" i="2"/>
  <c r="G134" i="2"/>
  <c r="F134" i="2"/>
  <c r="E134" i="2"/>
  <c r="J133" i="2"/>
  <c r="I133" i="2"/>
  <c r="H133" i="2"/>
  <c r="G133" i="2"/>
  <c r="F133" i="2"/>
  <c r="E133" i="2"/>
  <c r="J132" i="2"/>
  <c r="I132" i="2"/>
  <c r="H132" i="2"/>
  <c r="G132" i="2"/>
  <c r="F132" i="2"/>
  <c r="E132" i="2"/>
  <c r="J131" i="2"/>
  <c r="I131" i="2"/>
  <c r="H131" i="2"/>
  <c r="G131" i="2"/>
  <c r="F131" i="2"/>
  <c r="E131" i="2"/>
  <c r="J130" i="2"/>
  <c r="I130" i="2"/>
  <c r="H130" i="2"/>
  <c r="G130" i="2"/>
  <c r="F130" i="2"/>
  <c r="E130" i="2"/>
  <c r="J129" i="2"/>
  <c r="I129" i="2"/>
  <c r="H129" i="2"/>
  <c r="G129" i="2"/>
  <c r="F129" i="2"/>
  <c r="E129" i="2"/>
  <c r="J128" i="2"/>
  <c r="I128" i="2"/>
  <c r="H128" i="2"/>
  <c r="G128" i="2"/>
  <c r="F128" i="2"/>
  <c r="E128" i="2"/>
  <c r="J127" i="2"/>
  <c r="I127" i="2"/>
  <c r="H127" i="2"/>
  <c r="G127" i="2"/>
  <c r="F127" i="2"/>
  <c r="E127" i="2"/>
  <c r="J126" i="2"/>
  <c r="I126" i="2"/>
  <c r="H126" i="2"/>
  <c r="G126" i="2"/>
  <c r="F126" i="2"/>
  <c r="E126" i="2"/>
  <c r="J125" i="2"/>
  <c r="I125" i="2"/>
  <c r="H125" i="2"/>
  <c r="G125" i="2"/>
  <c r="F125" i="2"/>
  <c r="E125" i="2"/>
  <c r="J124" i="2"/>
  <c r="I124" i="2"/>
  <c r="H124" i="2"/>
  <c r="G124" i="2"/>
  <c r="F124" i="2"/>
  <c r="E124" i="2"/>
  <c r="J123" i="2"/>
  <c r="I123" i="2"/>
  <c r="H123" i="2"/>
  <c r="G123" i="2"/>
  <c r="F123" i="2"/>
  <c r="E123" i="2"/>
  <c r="J122" i="2"/>
  <c r="I122" i="2"/>
  <c r="H122" i="2"/>
  <c r="G122" i="2"/>
  <c r="F122" i="2"/>
  <c r="E122" i="2"/>
  <c r="J121" i="2"/>
  <c r="I121" i="2"/>
  <c r="H121" i="2"/>
  <c r="G121" i="2"/>
  <c r="F121" i="2"/>
  <c r="E121" i="2"/>
  <c r="J120" i="2"/>
  <c r="I120" i="2"/>
  <c r="H120" i="2"/>
  <c r="G120" i="2"/>
  <c r="F120" i="2"/>
  <c r="E120" i="2"/>
  <c r="J119" i="2"/>
  <c r="I119" i="2"/>
  <c r="H119" i="2"/>
  <c r="G119" i="2"/>
  <c r="F119" i="2"/>
  <c r="E119" i="2"/>
  <c r="J118" i="2"/>
  <c r="I118" i="2"/>
  <c r="H118" i="2"/>
  <c r="G118" i="2"/>
  <c r="F118" i="2"/>
  <c r="E118" i="2"/>
  <c r="J117" i="2"/>
  <c r="I117" i="2"/>
  <c r="H117" i="2"/>
  <c r="G117" i="2"/>
  <c r="F117" i="2"/>
  <c r="E117" i="2"/>
  <c r="J116" i="2"/>
  <c r="I116" i="2"/>
  <c r="H116" i="2"/>
  <c r="G116" i="2"/>
  <c r="F116" i="2"/>
  <c r="E116" i="2"/>
  <c r="J115" i="2"/>
  <c r="I115" i="2"/>
  <c r="H115" i="2"/>
  <c r="G115" i="2"/>
  <c r="F115" i="2"/>
  <c r="E115" i="2"/>
  <c r="J114" i="2"/>
  <c r="I114" i="2"/>
  <c r="H114" i="2"/>
  <c r="G114" i="2"/>
  <c r="F114" i="2"/>
  <c r="E114" i="2"/>
  <c r="J113" i="2"/>
  <c r="I113" i="2"/>
  <c r="H113" i="2"/>
  <c r="G113" i="2"/>
  <c r="F113" i="2"/>
  <c r="E113" i="2"/>
  <c r="J112" i="2"/>
  <c r="I112" i="2"/>
  <c r="H112" i="2"/>
  <c r="G112" i="2"/>
  <c r="F112" i="2"/>
  <c r="E112" i="2"/>
  <c r="J111" i="2"/>
  <c r="I111" i="2"/>
  <c r="H111" i="2"/>
  <c r="G111" i="2"/>
  <c r="F111" i="2"/>
  <c r="E111" i="2"/>
  <c r="J110" i="2"/>
  <c r="I110" i="2"/>
  <c r="H110" i="2"/>
  <c r="G110" i="2"/>
  <c r="F110" i="2"/>
  <c r="E110" i="2"/>
  <c r="J109" i="2"/>
  <c r="I109" i="2"/>
  <c r="H109" i="2"/>
  <c r="G109" i="2"/>
  <c r="F109" i="2"/>
  <c r="E109" i="2"/>
  <c r="J108" i="2"/>
  <c r="I108" i="2"/>
  <c r="H108" i="2"/>
  <c r="G108" i="2"/>
  <c r="F108" i="2"/>
  <c r="E108" i="2"/>
  <c r="J107" i="2"/>
  <c r="I107" i="2"/>
  <c r="H107" i="2"/>
  <c r="G107" i="2"/>
  <c r="F107" i="2"/>
  <c r="E107" i="2"/>
  <c r="J106" i="2"/>
  <c r="I106" i="2"/>
  <c r="H106" i="2"/>
  <c r="G106" i="2"/>
  <c r="F106" i="2"/>
  <c r="E106" i="2"/>
  <c r="J105" i="2"/>
  <c r="I105" i="2"/>
  <c r="H105" i="2"/>
  <c r="G105" i="2"/>
  <c r="F105" i="2"/>
  <c r="E105" i="2"/>
  <c r="J104" i="2"/>
  <c r="I104" i="2"/>
  <c r="H104" i="2"/>
  <c r="G104" i="2"/>
  <c r="F104" i="2"/>
  <c r="E104" i="2"/>
  <c r="J103" i="2"/>
  <c r="I103" i="2"/>
  <c r="H103" i="2"/>
  <c r="G103" i="2"/>
  <c r="F103" i="2"/>
  <c r="E103" i="2"/>
  <c r="J102" i="2"/>
  <c r="I102" i="2"/>
  <c r="H102" i="2"/>
  <c r="G102" i="2"/>
  <c r="F102" i="2"/>
  <c r="E102" i="2"/>
  <c r="J101" i="2"/>
  <c r="I101" i="2"/>
  <c r="H101" i="2"/>
  <c r="G101" i="2"/>
  <c r="F101" i="2"/>
  <c r="E101" i="2"/>
  <c r="J100" i="2"/>
  <c r="I100" i="2"/>
  <c r="H100" i="2"/>
  <c r="G100" i="2"/>
  <c r="F100" i="2"/>
  <c r="E100" i="2"/>
  <c r="J99" i="2"/>
  <c r="I99" i="2"/>
  <c r="H99" i="2"/>
  <c r="G99" i="2"/>
  <c r="F99" i="2"/>
  <c r="E99" i="2"/>
  <c r="J98" i="2"/>
  <c r="I98" i="2"/>
  <c r="H98" i="2"/>
  <c r="G98" i="2"/>
  <c r="F98" i="2"/>
  <c r="E98" i="2"/>
  <c r="J97" i="2"/>
  <c r="I97" i="2"/>
  <c r="H97" i="2"/>
  <c r="G97" i="2"/>
  <c r="F97" i="2"/>
  <c r="E97" i="2"/>
  <c r="J96" i="2"/>
  <c r="I96" i="2"/>
  <c r="H96" i="2"/>
  <c r="G96" i="2"/>
  <c r="F96" i="2"/>
  <c r="E96" i="2"/>
  <c r="J95" i="2"/>
  <c r="I95" i="2"/>
  <c r="H95" i="2"/>
  <c r="G95" i="2"/>
  <c r="F95" i="2"/>
  <c r="E95" i="2"/>
  <c r="J94" i="2"/>
  <c r="I94" i="2"/>
  <c r="H94" i="2"/>
  <c r="G94" i="2"/>
  <c r="F94" i="2"/>
  <c r="E94" i="2"/>
  <c r="J93" i="2"/>
  <c r="I93" i="2"/>
  <c r="H93" i="2"/>
  <c r="G93" i="2"/>
  <c r="F93" i="2"/>
  <c r="E93" i="2"/>
  <c r="J92" i="2"/>
  <c r="I92" i="2"/>
  <c r="H92" i="2"/>
  <c r="G92" i="2"/>
  <c r="F92" i="2"/>
  <c r="E92" i="2"/>
  <c r="J91" i="2"/>
  <c r="I91" i="2"/>
  <c r="H91" i="2"/>
  <c r="G91" i="2"/>
  <c r="F91" i="2"/>
  <c r="E91" i="2"/>
  <c r="J90" i="2"/>
  <c r="I90" i="2"/>
  <c r="H90" i="2"/>
  <c r="G90" i="2"/>
  <c r="F90" i="2"/>
  <c r="E90" i="2"/>
  <c r="J89" i="2"/>
  <c r="I89" i="2"/>
  <c r="H89" i="2"/>
  <c r="G89" i="2"/>
  <c r="F89" i="2"/>
  <c r="E89" i="2"/>
  <c r="J88" i="2"/>
  <c r="I88" i="2"/>
  <c r="H88" i="2"/>
  <c r="G88" i="2"/>
  <c r="F88" i="2"/>
  <c r="E88" i="2"/>
  <c r="J87" i="2"/>
  <c r="I87" i="2"/>
  <c r="H87" i="2"/>
  <c r="G87" i="2"/>
  <c r="F87" i="2"/>
  <c r="E87" i="2"/>
  <c r="J86" i="2"/>
  <c r="I86" i="2"/>
  <c r="H86" i="2"/>
  <c r="G86" i="2"/>
  <c r="F86" i="2"/>
  <c r="E86" i="2"/>
  <c r="J85" i="2"/>
  <c r="I85" i="2"/>
  <c r="H85" i="2"/>
  <c r="G85" i="2"/>
  <c r="F85" i="2"/>
  <c r="E85" i="2"/>
  <c r="J84" i="2"/>
  <c r="I84" i="2"/>
  <c r="H84" i="2"/>
  <c r="G84" i="2"/>
  <c r="F84" i="2"/>
  <c r="E84" i="2"/>
  <c r="J83" i="2"/>
  <c r="I83" i="2"/>
  <c r="H83" i="2"/>
  <c r="G83" i="2"/>
  <c r="F83" i="2"/>
  <c r="E83" i="2"/>
  <c r="J82" i="2"/>
  <c r="I82" i="2"/>
  <c r="H82" i="2"/>
  <c r="G82" i="2"/>
  <c r="F82" i="2"/>
  <c r="E82" i="2"/>
  <c r="J81" i="2"/>
  <c r="I81" i="2"/>
  <c r="H81" i="2"/>
  <c r="G81" i="2"/>
  <c r="F81" i="2"/>
  <c r="E81" i="2"/>
  <c r="J80" i="2"/>
  <c r="I80" i="2"/>
  <c r="H80" i="2"/>
  <c r="G80" i="2"/>
  <c r="F80" i="2"/>
  <c r="E80" i="2"/>
  <c r="J79" i="2"/>
  <c r="I79" i="2"/>
  <c r="H79" i="2"/>
  <c r="G79" i="2"/>
  <c r="F79" i="2"/>
  <c r="E79" i="2"/>
  <c r="J78" i="2"/>
  <c r="I78" i="2"/>
  <c r="H78" i="2"/>
  <c r="G78" i="2"/>
  <c r="F78" i="2"/>
  <c r="E78" i="2"/>
  <c r="J77" i="2"/>
  <c r="I77" i="2"/>
  <c r="H77" i="2"/>
  <c r="G77" i="2"/>
  <c r="F77" i="2"/>
  <c r="E77" i="2"/>
  <c r="J76" i="2"/>
  <c r="I76" i="2"/>
  <c r="H76" i="2"/>
  <c r="G76" i="2"/>
  <c r="F76" i="2"/>
  <c r="E76" i="2"/>
  <c r="J75" i="2"/>
  <c r="I75" i="2"/>
  <c r="H75" i="2"/>
  <c r="G75" i="2"/>
  <c r="F75" i="2"/>
  <c r="E75" i="2"/>
  <c r="J74" i="2"/>
  <c r="I74" i="2"/>
  <c r="H74" i="2"/>
  <c r="G74" i="2"/>
  <c r="F74" i="2"/>
  <c r="E74" i="2"/>
  <c r="J73" i="2"/>
  <c r="I73" i="2"/>
  <c r="H73" i="2"/>
  <c r="G73" i="2"/>
  <c r="F73" i="2"/>
  <c r="E73" i="2"/>
  <c r="J72" i="2"/>
  <c r="I72" i="2"/>
  <c r="H72" i="2"/>
  <c r="G72" i="2"/>
  <c r="F72" i="2"/>
  <c r="E72" i="2"/>
  <c r="J71" i="2"/>
  <c r="I71" i="2"/>
  <c r="H71" i="2"/>
  <c r="G71" i="2"/>
  <c r="F71" i="2"/>
  <c r="E71" i="2"/>
  <c r="J70" i="2"/>
  <c r="I70" i="2"/>
  <c r="H70" i="2"/>
  <c r="G70" i="2"/>
  <c r="F70" i="2"/>
  <c r="E70" i="2"/>
  <c r="J69" i="2"/>
  <c r="I69" i="2"/>
  <c r="H69" i="2"/>
  <c r="G69" i="2"/>
  <c r="F69" i="2"/>
  <c r="E69" i="2"/>
  <c r="J68" i="2"/>
  <c r="I68" i="2"/>
  <c r="H68" i="2"/>
  <c r="G68" i="2"/>
  <c r="F68" i="2"/>
  <c r="E68" i="2"/>
  <c r="J67" i="2"/>
  <c r="I67" i="2"/>
  <c r="H67" i="2"/>
  <c r="G67" i="2"/>
  <c r="F67" i="2"/>
  <c r="E67" i="2"/>
  <c r="J66" i="2"/>
  <c r="I66" i="2"/>
  <c r="H66" i="2"/>
  <c r="G66" i="2"/>
  <c r="F66" i="2"/>
  <c r="E66" i="2"/>
  <c r="J65" i="2"/>
  <c r="I65" i="2"/>
  <c r="H65" i="2"/>
  <c r="G65" i="2"/>
  <c r="F65" i="2"/>
  <c r="E65" i="2"/>
  <c r="J64" i="2"/>
  <c r="I64" i="2"/>
  <c r="H64" i="2"/>
  <c r="G64" i="2"/>
  <c r="F64" i="2"/>
  <c r="E64" i="2"/>
  <c r="J63" i="2"/>
  <c r="I63" i="2"/>
  <c r="H63" i="2"/>
  <c r="G63" i="2"/>
  <c r="F63" i="2"/>
  <c r="E63" i="2"/>
  <c r="J62" i="2"/>
  <c r="I62" i="2"/>
  <c r="H62" i="2"/>
  <c r="G62" i="2"/>
  <c r="F62" i="2"/>
  <c r="E62" i="2"/>
  <c r="J61" i="2"/>
  <c r="I61" i="2"/>
  <c r="H61" i="2"/>
  <c r="G61" i="2"/>
  <c r="F61" i="2"/>
  <c r="E61" i="2"/>
  <c r="J60" i="2"/>
  <c r="I60" i="2"/>
  <c r="H60" i="2"/>
  <c r="G60" i="2"/>
  <c r="F60" i="2"/>
  <c r="E60" i="2"/>
  <c r="J59" i="2"/>
  <c r="I59" i="2"/>
  <c r="H59" i="2"/>
  <c r="G59" i="2"/>
  <c r="F59" i="2"/>
  <c r="E59" i="2"/>
  <c r="J58" i="2"/>
  <c r="I58" i="2"/>
  <c r="H58" i="2"/>
  <c r="G58" i="2"/>
  <c r="F58" i="2"/>
  <c r="E58" i="2"/>
  <c r="J57" i="2"/>
  <c r="I57" i="2"/>
  <c r="H57" i="2"/>
  <c r="G57" i="2"/>
  <c r="F57" i="2"/>
  <c r="E57" i="2"/>
  <c r="J56" i="2"/>
  <c r="I56" i="2"/>
  <c r="H56" i="2"/>
  <c r="G56" i="2"/>
  <c r="F56" i="2"/>
  <c r="E56" i="2"/>
  <c r="J55" i="2"/>
  <c r="I55" i="2"/>
  <c r="H55" i="2"/>
  <c r="G55" i="2"/>
  <c r="F55" i="2"/>
  <c r="E55" i="2"/>
  <c r="J54" i="2"/>
  <c r="I54" i="2"/>
  <c r="H54" i="2"/>
  <c r="G54" i="2"/>
  <c r="F54" i="2"/>
  <c r="E54" i="2"/>
  <c r="J53" i="2"/>
  <c r="I53" i="2"/>
  <c r="H53" i="2"/>
  <c r="G53" i="2"/>
  <c r="F53" i="2"/>
  <c r="E53" i="2"/>
  <c r="J52" i="2"/>
  <c r="I52" i="2"/>
  <c r="H52" i="2"/>
  <c r="G52" i="2"/>
  <c r="F52" i="2"/>
  <c r="E52" i="2"/>
  <c r="J51" i="2"/>
  <c r="I51" i="2"/>
  <c r="H51" i="2"/>
  <c r="G51" i="2"/>
  <c r="F51" i="2"/>
  <c r="E51" i="2"/>
  <c r="J50" i="2"/>
  <c r="I50" i="2"/>
  <c r="H50" i="2"/>
  <c r="G50" i="2"/>
  <c r="F50" i="2"/>
  <c r="E50" i="2"/>
  <c r="J49" i="2"/>
  <c r="I49" i="2"/>
  <c r="H49" i="2"/>
  <c r="G49" i="2"/>
  <c r="F49" i="2"/>
  <c r="E49" i="2"/>
  <c r="J48" i="2"/>
  <c r="I48" i="2"/>
  <c r="H48" i="2"/>
  <c r="G48" i="2"/>
  <c r="F48" i="2"/>
  <c r="E48" i="2"/>
  <c r="J47" i="2"/>
  <c r="I47" i="2"/>
  <c r="H47" i="2"/>
  <c r="G47" i="2"/>
  <c r="F47" i="2"/>
  <c r="E47" i="2"/>
  <c r="J46" i="2"/>
  <c r="I46" i="2"/>
  <c r="H46" i="2"/>
  <c r="G46" i="2"/>
  <c r="F46" i="2"/>
  <c r="E46" i="2"/>
  <c r="J45" i="2"/>
  <c r="I45" i="2"/>
  <c r="H45" i="2"/>
  <c r="G45" i="2"/>
  <c r="F45" i="2"/>
  <c r="E45" i="2"/>
  <c r="J44" i="2"/>
  <c r="I44" i="2"/>
  <c r="H44" i="2"/>
  <c r="G44" i="2"/>
  <c r="F44" i="2"/>
  <c r="E44" i="2"/>
  <c r="J43" i="2"/>
  <c r="I43" i="2"/>
  <c r="H43" i="2"/>
  <c r="G43" i="2"/>
  <c r="F43" i="2"/>
  <c r="E43" i="2"/>
  <c r="J42" i="2"/>
  <c r="I42" i="2"/>
  <c r="H42" i="2"/>
  <c r="G42" i="2"/>
  <c r="F42" i="2"/>
  <c r="E42" i="2"/>
  <c r="J41" i="2"/>
  <c r="I41" i="2"/>
  <c r="H41" i="2"/>
  <c r="G41" i="2"/>
  <c r="F41" i="2"/>
  <c r="E41" i="2"/>
  <c r="J40" i="2"/>
  <c r="I40" i="2"/>
  <c r="H40" i="2"/>
  <c r="G40" i="2"/>
  <c r="F40" i="2"/>
  <c r="E40" i="2"/>
  <c r="J39" i="2"/>
  <c r="I39" i="2"/>
  <c r="H39" i="2"/>
  <c r="G39" i="2"/>
  <c r="F39" i="2"/>
  <c r="E39" i="2"/>
  <c r="J38" i="2"/>
  <c r="I38" i="2"/>
  <c r="H38" i="2"/>
  <c r="G38" i="2"/>
  <c r="F38" i="2"/>
  <c r="E38" i="2"/>
  <c r="J37" i="2"/>
  <c r="I37" i="2"/>
  <c r="H37" i="2"/>
  <c r="G37" i="2"/>
  <c r="F37" i="2"/>
  <c r="E37" i="2"/>
  <c r="J36" i="2"/>
  <c r="I36" i="2"/>
  <c r="H36" i="2"/>
  <c r="G36" i="2"/>
  <c r="F36" i="2"/>
  <c r="E36" i="2"/>
  <c r="J35" i="2"/>
  <c r="I35" i="2"/>
  <c r="H35" i="2"/>
  <c r="G35" i="2"/>
  <c r="F35" i="2"/>
  <c r="E35" i="2"/>
  <c r="J34" i="2"/>
  <c r="I34" i="2"/>
  <c r="H34" i="2"/>
  <c r="G34" i="2"/>
  <c r="F34" i="2"/>
  <c r="E34" i="2"/>
  <c r="J33" i="2"/>
  <c r="I33" i="2"/>
  <c r="H33" i="2"/>
  <c r="G33" i="2"/>
  <c r="F33" i="2"/>
  <c r="E33" i="2"/>
  <c r="J32" i="2"/>
  <c r="I32" i="2"/>
  <c r="H32" i="2"/>
  <c r="G32" i="2"/>
  <c r="F32" i="2"/>
  <c r="E32" i="2"/>
  <c r="J31" i="2"/>
  <c r="I31" i="2"/>
  <c r="H31" i="2"/>
  <c r="G31" i="2"/>
  <c r="F31" i="2"/>
  <c r="E31" i="2"/>
  <c r="J30" i="2"/>
  <c r="I30" i="2"/>
  <c r="H30" i="2"/>
  <c r="G30" i="2"/>
  <c r="F30" i="2"/>
  <c r="E30" i="2"/>
  <c r="J29" i="2"/>
  <c r="I29" i="2"/>
  <c r="H29" i="2"/>
  <c r="G29" i="2"/>
  <c r="F29" i="2"/>
  <c r="E29" i="2"/>
  <c r="J28" i="2"/>
  <c r="I28" i="2"/>
  <c r="H28" i="2"/>
  <c r="G28" i="2"/>
  <c r="F28" i="2"/>
  <c r="E28" i="2"/>
  <c r="J27" i="2"/>
  <c r="I27" i="2"/>
  <c r="H27" i="2"/>
  <c r="G27" i="2"/>
  <c r="F27" i="2"/>
  <c r="E27" i="2"/>
  <c r="J26" i="2"/>
  <c r="I26" i="2"/>
  <c r="H26" i="2"/>
  <c r="G26" i="2"/>
  <c r="F26" i="2"/>
  <c r="E26" i="2"/>
  <c r="J25" i="2"/>
  <c r="I25" i="2"/>
  <c r="H25" i="2"/>
  <c r="G25" i="2"/>
  <c r="F25" i="2"/>
  <c r="E25" i="2"/>
  <c r="J24" i="2"/>
  <c r="I24" i="2"/>
  <c r="H24" i="2"/>
  <c r="G24" i="2"/>
  <c r="F24" i="2"/>
  <c r="E24" i="2"/>
  <c r="J23" i="2"/>
  <c r="I23" i="2"/>
  <c r="H23" i="2"/>
  <c r="G23" i="2"/>
  <c r="F23" i="2"/>
  <c r="E23" i="2"/>
  <c r="J22" i="2"/>
  <c r="I22" i="2"/>
  <c r="H22" i="2"/>
  <c r="G22" i="2"/>
  <c r="F22" i="2"/>
  <c r="E22" i="2"/>
  <c r="J21" i="2"/>
  <c r="I21" i="2"/>
  <c r="H21" i="2"/>
  <c r="G21" i="2"/>
  <c r="F21" i="2"/>
  <c r="E21" i="2"/>
  <c r="J20" i="2"/>
  <c r="I20" i="2"/>
  <c r="H20" i="2"/>
  <c r="G20" i="2"/>
  <c r="F20" i="2"/>
  <c r="E20" i="2"/>
  <c r="J19" i="2"/>
  <c r="I19" i="2"/>
  <c r="H19" i="2"/>
  <c r="G19" i="2"/>
  <c r="F19" i="2"/>
  <c r="E19" i="2"/>
  <c r="J18" i="2"/>
  <c r="I18" i="2"/>
  <c r="H18" i="2"/>
  <c r="G18" i="2"/>
  <c r="F18" i="2"/>
  <c r="E18" i="2"/>
  <c r="J17" i="2"/>
  <c r="I17" i="2"/>
  <c r="H17" i="2"/>
  <c r="G17" i="2"/>
  <c r="F17" i="2"/>
  <c r="E17" i="2"/>
  <c r="J16" i="2"/>
  <c r="I16" i="2"/>
  <c r="H16" i="2"/>
  <c r="G16" i="2"/>
  <c r="F16" i="2"/>
  <c r="E16" i="2"/>
  <c r="J15" i="2"/>
  <c r="I15" i="2"/>
  <c r="H15" i="2"/>
  <c r="G15" i="2"/>
  <c r="F15" i="2"/>
  <c r="E15" i="2"/>
  <c r="J14" i="2"/>
  <c r="I14" i="2"/>
  <c r="H14" i="2"/>
  <c r="G14" i="2"/>
  <c r="F14" i="2"/>
  <c r="E14" i="2"/>
  <c r="J13" i="2"/>
  <c r="I13" i="2"/>
  <c r="H13" i="2"/>
  <c r="G13" i="2"/>
  <c r="F13" i="2"/>
  <c r="E13" i="2"/>
  <c r="J12" i="2"/>
  <c r="I12" i="2"/>
  <c r="H12" i="2"/>
  <c r="G12" i="2"/>
  <c r="F12" i="2"/>
  <c r="E12" i="2"/>
  <c r="J11" i="2"/>
  <c r="I11" i="2"/>
  <c r="H11" i="2"/>
  <c r="G11" i="2"/>
  <c r="F11" i="2"/>
  <c r="E11" i="2"/>
  <c r="J10" i="2"/>
  <c r="I10" i="2"/>
  <c r="H10" i="2"/>
  <c r="G10" i="2"/>
  <c r="F10" i="2"/>
  <c r="E10" i="2"/>
  <c r="J9" i="2"/>
  <c r="I9" i="2"/>
  <c r="H9" i="2"/>
  <c r="G9" i="2"/>
  <c r="F9" i="2"/>
  <c r="E9" i="2"/>
  <c r="J8" i="2"/>
  <c r="I8" i="2"/>
  <c r="H8" i="2"/>
  <c r="G8" i="2"/>
  <c r="F8" i="2"/>
  <c r="E8" i="2"/>
  <c r="J7" i="2"/>
  <c r="I7" i="2"/>
  <c r="H7" i="2"/>
  <c r="G7" i="2"/>
  <c r="F7" i="2"/>
  <c r="E7" i="2"/>
  <c r="J6" i="2"/>
  <c r="I6" i="2"/>
  <c r="H6" i="2"/>
  <c r="G6" i="2"/>
  <c r="F6" i="2"/>
  <c r="E6" i="2"/>
  <c r="J5" i="2"/>
  <c r="I5" i="2"/>
  <c r="H5" i="2"/>
  <c r="G5" i="2"/>
  <c r="F5" i="2"/>
  <c r="E5" i="2"/>
  <c r="J4" i="2"/>
  <c r="I4" i="2"/>
  <c r="H4" i="2"/>
  <c r="G4" i="2"/>
  <c r="F4" i="2"/>
  <c r="E4" i="2"/>
  <c r="J3" i="2"/>
  <c r="I3" i="2"/>
  <c r="H3" i="2"/>
  <c r="G3" i="2"/>
  <c r="F3" i="2"/>
  <c r="E3" i="2"/>
  <c r="J2" i="2"/>
  <c r="I2" i="2"/>
  <c r="H2" i="2"/>
  <c r="G2" i="2"/>
  <c r="F2" i="2"/>
  <c r="E2" i="2"/>
  <c r="E11" i="1"/>
  <c r="E228" i="1"/>
  <c r="E87" i="1"/>
  <c r="E131" i="1"/>
  <c r="E132" i="1"/>
  <c r="E12" i="1"/>
  <c r="E42" i="1"/>
  <c r="E133" i="1"/>
  <c r="E43" i="1"/>
  <c r="E88" i="1"/>
  <c r="E89" i="1"/>
  <c r="E44" i="1"/>
  <c r="E134" i="1"/>
  <c r="E90" i="1"/>
  <c r="E45" i="1"/>
  <c r="E13" i="1"/>
  <c r="E190" i="1"/>
  <c r="E91" i="1"/>
  <c r="E135" i="1"/>
  <c r="E136" i="1"/>
  <c r="E229" i="1"/>
  <c r="E191" i="1"/>
  <c r="E46" i="1"/>
  <c r="E47" i="1"/>
  <c r="E48" i="1"/>
  <c r="E5" i="1"/>
  <c r="E192" i="1"/>
  <c r="E193" i="1"/>
  <c r="E92" i="1"/>
  <c r="E93" i="1"/>
  <c r="E14" i="1"/>
  <c r="E194" i="1"/>
  <c r="E137" i="1"/>
  <c r="E49" i="1"/>
  <c r="E3" i="1"/>
  <c r="E15" i="1"/>
  <c r="E50" i="1"/>
  <c r="E195" i="1"/>
  <c r="E138" i="1"/>
  <c r="E196" i="1"/>
  <c r="E94" i="1"/>
  <c r="E16" i="1"/>
  <c r="E51" i="1"/>
  <c r="E52" i="1"/>
  <c r="E197" i="1"/>
  <c r="E95" i="1"/>
  <c r="E230" i="1"/>
  <c r="E139" i="1"/>
  <c r="E96" i="1"/>
  <c r="E53" i="1"/>
  <c r="E17" i="1"/>
  <c r="E97" i="1"/>
  <c r="E98" i="1"/>
  <c r="E140" i="1"/>
  <c r="E99" i="1"/>
  <c r="E141" i="1"/>
  <c r="E100" i="1"/>
  <c r="E18" i="1"/>
  <c r="E54" i="1"/>
  <c r="E101" i="1"/>
  <c r="E55" i="1"/>
  <c r="E198" i="1"/>
  <c r="E142" i="1"/>
  <c r="E6" i="1"/>
  <c r="E56" i="1"/>
  <c r="E143" i="1"/>
  <c r="E2" i="1"/>
  <c r="E199" i="1"/>
  <c r="E57" i="1"/>
  <c r="E7" i="1"/>
  <c r="E102" i="1"/>
  <c r="E58" i="1"/>
  <c r="E103" i="1"/>
  <c r="E19" i="1"/>
  <c r="E231" i="1"/>
  <c r="E20" i="1"/>
  <c r="E200" i="1"/>
  <c r="E104" i="1"/>
  <c r="E105" i="1"/>
  <c r="E106" i="1"/>
  <c r="E201" i="1"/>
  <c r="E59" i="1"/>
  <c r="E144" i="1"/>
  <c r="E107" i="1"/>
  <c r="E60" i="1"/>
  <c r="E202" i="1"/>
  <c r="E203" i="1"/>
  <c r="E21" i="1"/>
  <c r="E145" i="1"/>
  <c r="E204" i="1"/>
  <c r="E108" i="1"/>
  <c r="E61" i="1"/>
  <c r="E146" i="1"/>
  <c r="E109" i="1"/>
  <c r="E147" i="1"/>
  <c r="E62" i="1"/>
  <c r="E63" i="1"/>
  <c r="E110" i="1"/>
  <c r="E148" i="1"/>
  <c r="E205" i="1"/>
  <c r="E64" i="1"/>
  <c r="E65" i="1"/>
  <c r="E66" i="1"/>
  <c r="E8" i="1"/>
  <c r="E206" i="1"/>
  <c r="E149" i="1"/>
  <c r="E67" i="1"/>
  <c r="E68" i="1"/>
  <c r="E22" i="1"/>
  <c r="E150" i="1"/>
  <c r="E69" i="1"/>
  <c r="E23" i="1"/>
  <c r="E70" i="1"/>
  <c r="E207" i="1"/>
  <c r="E151" i="1"/>
  <c r="E24" i="1"/>
  <c r="E25" i="1"/>
  <c r="E111" i="1"/>
  <c r="E152" i="1"/>
  <c r="E26" i="1"/>
  <c r="E112" i="1"/>
  <c r="E27" i="1"/>
  <c r="E71" i="1"/>
  <c r="E153" i="1"/>
  <c r="E154" i="1"/>
  <c r="E208" i="1"/>
  <c r="E209" i="1"/>
  <c r="E210" i="1"/>
  <c r="E113" i="1"/>
  <c r="E114" i="1"/>
  <c r="E211" i="1"/>
  <c r="E212" i="1"/>
  <c r="E155" i="1"/>
  <c r="E115" i="1"/>
  <c r="E72" i="1"/>
  <c r="E73" i="1"/>
  <c r="E156" i="1"/>
  <c r="E157" i="1"/>
  <c r="E158" i="1"/>
  <c r="E116" i="1"/>
  <c r="E159" i="1"/>
  <c r="E160" i="1"/>
  <c r="E213" i="1"/>
  <c r="E117" i="1"/>
  <c r="E74" i="1"/>
  <c r="E118" i="1"/>
  <c r="E119" i="1"/>
  <c r="E161" i="1"/>
  <c r="E162" i="1"/>
  <c r="E28" i="1"/>
  <c r="E163" i="1"/>
  <c r="E75" i="1"/>
  <c r="E164" i="1"/>
  <c r="E76" i="1"/>
  <c r="E77" i="1"/>
  <c r="E165" i="1"/>
  <c r="E232" i="1"/>
  <c r="E78" i="1"/>
  <c r="E214" i="1"/>
  <c r="E215" i="1"/>
  <c r="E166" i="1"/>
  <c r="E29" i="1"/>
  <c r="E120" i="1"/>
  <c r="E121" i="1"/>
  <c r="E216" i="1"/>
  <c r="E167" i="1"/>
  <c r="E122" i="1"/>
  <c r="E217" i="1"/>
  <c r="E168" i="1"/>
  <c r="E169" i="1"/>
  <c r="E30" i="1"/>
  <c r="E31" i="1"/>
  <c r="E123" i="1"/>
  <c r="E170" i="1"/>
  <c r="E79" i="1"/>
  <c r="E171" i="1"/>
  <c r="E218" i="1"/>
  <c r="E9" i="1"/>
  <c r="E80" i="1"/>
  <c r="E172" i="1"/>
  <c r="E32" i="1"/>
  <c r="E173" i="1"/>
  <c r="E33" i="1"/>
  <c r="E174" i="1"/>
  <c r="E175" i="1"/>
  <c r="E176" i="1"/>
  <c r="E219" i="1"/>
  <c r="E81" i="1"/>
  <c r="E220" i="1"/>
  <c r="E177" i="1"/>
  <c r="E178" i="1"/>
  <c r="E179" i="1"/>
  <c r="E82" i="1"/>
  <c r="E180" i="1"/>
  <c r="E124" i="1"/>
  <c r="E181" i="1"/>
  <c r="E125" i="1"/>
  <c r="E182" i="1"/>
  <c r="E10" i="1"/>
  <c r="E126" i="1"/>
  <c r="E221" i="1"/>
  <c r="E183" i="1"/>
  <c r="E222" i="1"/>
  <c r="E127" i="1"/>
  <c r="E223" i="1"/>
  <c r="E83" i="1"/>
  <c r="E128" i="1"/>
  <c r="E224" i="1"/>
  <c r="E225" i="1"/>
  <c r="E84" i="1"/>
  <c r="E226" i="1"/>
  <c r="E129" i="1"/>
  <c r="E85" i="1"/>
  <c r="E184" i="1"/>
  <c r="E185" i="1"/>
  <c r="E35" i="1"/>
  <c r="E186" i="1"/>
  <c r="E86" i="1"/>
  <c r="E36" i="1"/>
  <c r="E187" i="1"/>
  <c r="E4" i="1"/>
  <c r="E37" i="1"/>
  <c r="E38" i="1"/>
  <c r="E130" i="1"/>
  <c r="E39" i="1"/>
  <c r="E40" i="1"/>
  <c r="E188" i="1"/>
  <c r="E41" i="1"/>
  <c r="E189" i="1"/>
  <c r="E227" i="1"/>
  <c r="E34" i="1"/>
  <c r="I129" i="1"/>
  <c r="H129" i="1"/>
  <c r="G129" i="1"/>
  <c r="F129" i="1"/>
  <c r="I226" i="1"/>
  <c r="H226" i="1"/>
  <c r="G226" i="1"/>
  <c r="F226" i="1"/>
  <c r="I84" i="1"/>
  <c r="H84" i="1"/>
  <c r="G84" i="1"/>
  <c r="F84" i="1"/>
  <c r="I225" i="1"/>
  <c r="H225" i="1"/>
  <c r="G225" i="1"/>
  <c r="F225" i="1"/>
  <c r="I224" i="1"/>
  <c r="H224" i="1"/>
  <c r="G224" i="1"/>
  <c r="F224" i="1"/>
  <c r="I128" i="1"/>
  <c r="H128" i="1"/>
  <c r="G128" i="1"/>
  <c r="F128" i="1"/>
  <c r="I83" i="1"/>
  <c r="H83" i="1"/>
  <c r="G83" i="1"/>
  <c r="F83" i="1"/>
  <c r="I223" i="1"/>
  <c r="H223" i="1"/>
  <c r="G223" i="1"/>
  <c r="F223" i="1"/>
  <c r="I127" i="1"/>
  <c r="H127" i="1"/>
  <c r="G127" i="1"/>
  <c r="F127" i="1"/>
  <c r="I222" i="1"/>
  <c r="H222" i="1"/>
  <c r="G222" i="1"/>
  <c r="F222" i="1"/>
  <c r="I183" i="1"/>
  <c r="H183" i="1"/>
  <c r="G183" i="1"/>
  <c r="F183" i="1"/>
  <c r="I221" i="1"/>
  <c r="H221" i="1"/>
  <c r="G221" i="1"/>
  <c r="F221" i="1"/>
  <c r="I126" i="1"/>
  <c r="H126" i="1"/>
  <c r="G126" i="1"/>
  <c r="F126" i="1"/>
  <c r="I10" i="1"/>
  <c r="H10" i="1"/>
  <c r="G10" i="1"/>
  <c r="F10" i="1"/>
  <c r="I182" i="1"/>
  <c r="H182" i="1"/>
  <c r="G182" i="1"/>
  <c r="F182" i="1"/>
  <c r="I125" i="1"/>
  <c r="H125" i="1"/>
  <c r="G125" i="1"/>
  <c r="F125" i="1"/>
  <c r="I181" i="1"/>
  <c r="H181" i="1"/>
  <c r="G181" i="1"/>
  <c r="F181" i="1"/>
  <c r="I124" i="1"/>
  <c r="H124" i="1"/>
  <c r="G124" i="1"/>
  <c r="F124" i="1"/>
  <c r="I180" i="1"/>
  <c r="H180" i="1"/>
  <c r="G180" i="1"/>
  <c r="F180" i="1"/>
  <c r="I82" i="1"/>
  <c r="H82" i="1"/>
  <c r="G82" i="1"/>
  <c r="F82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220" i="1"/>
  <c r="H220" i="1"/>
  <c r="G220" i="1"/>
  <c r="F220" i="1"/>
  <c r="I81" i="1"/>
  <c r="H81" i="1"/>
  <c r="G81" i="1"/>
  <c r="F81" i="1"/>
  <c r="I219" i="1"/>
  <c r="H219" i="1"/>
  <c r="G219" i="1"/>
  <c r="F219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33" i="1"/>
  <c r="H33" i="1"/>
  <c r="G33" i="1"/>
  <c r="F33" i="1"/>
  <c r="I173" i="1"/>
  <c r="H173" i="1"/>
  <c r="G173" i="1"/>
  <c r="F173" i="1"/>
  <c r="I32" i="1"/>
  <c r="H32" i="1"/>
  <c r="G32" i="1"/>
  <c r="F32" i="1"/>
  <c r="I172" i="1"/>
  <c r="H172" i="1"/>
  <c r="G172" i="1"/>
  <c r="F172" i="1"/>
  <c r="I80" i="1"/>
  <c r="H80" i="1"/>
  <c r="G80" i="1"/>
  <c r="F80" i="1"/>
  <c r="I9" i="1"/>
  <c r="H9" i="1"/>
  <c r="G9" i="1"/>
  <c r="F9" i="1"/>
  <c r="I218" i="1"/>
  <c r="H218" i="1"/>
  <c r="G218" i="1"/>
  <c r="F218" i="1"/>
  <c r="I171" i="1"/>
  <c r="H171" i="1"/>
  <c r="G171" i="1"/>
  <c r="F171" i="1"/>
  <c r="I79" i="1"/>
  <c r="H79" i="1"/>
  <c r="G79" i="1"/>
  <c r="F79" i="1"/>
  <c r="I170" i="1"/>
  <c r="H170" i="1"/>
  <c r="G170" i="1"/>
  <c r="F170" i="1"/>
  <c r="I123" i="1"/>
  <c r="H123" i="1"/>
  <c r="G123" i="1"/>
  <c r="F123" i="1"/>
  <c r="I31" i="1"/>
  <c r="H31" i="1"/>
  <c r="G31" i="1"/>
  <c r="F31" i="1"/>
  <c r="I30" i="1"/>
  <c r="H30" i="1"/>
  <c r="G30" i="1"/>
  <c r="F30" i="1"/>
  <c r="I169" i="1"/>
  <c r="H169" i="1"/>
  <c r="G169" i="1"/>
  <c r="F169" i="1"/>
  <c r="I168" i="1"/>
  <c r="H168" i="1"/>
  <c r="G168" i="1"/>
  <c r="F168" i="1"/>
  <c r="I217" i="1"/>
  <c r="H217" i="1"/>
  <c r="G217" i="1"/>
  <c r="F217" i="1"/>
  <c r="I122" i="1"/>
  <c r="H122" i="1"/>
  <c r="G122" i="1"/>
  <c r="F122" i="1"/>
  <c r="I167" i="1"/>
  <c r="H167" i="1"/>
  <c r="G167" i="1"/>
  <c r="F167" i="1"/>
  <c r="I216" i="1"/>
  <c r="H216" i="1"/>
  <c r="G216" i="1"/>
  <c r="F216" i="1"/>
  <c r="I121" i="1"/>
  <c r="H121" i="1"/>
  <c r="G121" i="1"/>
  <c r="F121" i="1"/>
  <c r="I120" i="1"/>
  <c r="H120" i="1"/>
  <c r="G120" i="1"/>
  <c r="F120" i="1"/>
  <c r="I29" i="1"/>
  <c r="H29" i="1"/>
  <c r="G29" i="1"/>
  <c r="F29" i="1"/>
  <c r="I166" i="1"/>
  <c r="H166" i="1"/>
  <c r="G166" i="1"/>
  <c r="F166" i="1"/>
  <c r="I215" i="1"/>
  <c r="H215" i="1"/>
  <c r="G215" i="1"/>
  <c r="F215" i="1"/>
  <c r="I214" i="1"/>
  <c r="H214" i="1"/>
  <c r="G214" i="1"/>
  <c r="F214" i="1"/>
  <c r="I78" i="1"/>
  <c r="H78" i="1"/>
  <c r="G78" i="1"/>
  <c r="F78" i="1"/>
  <c r="I232" i="1"/>
  <c r="H232" i="1"/>
  <c r="G232" i="1"/>
  <c r="F232" i="1"/>
  <c r="I165" i="1"/>
  <c r="H165" i="1"/>
  <c r="G165" i="1"/>
  <c r="F165" i="1"/>
  <c r="I77" i="1"/>
  <c r="G77" i="1"/>
  <c r="F77" i="1"/>
  <c r="I76" i="1"/>
  <c r="H76" i="1"/>
  <c r="G76" i="1"/>
  <c r="F76" i="1"/>
  <c r="I164" i="1"/>
  <c r="H164" i="1"/>
  <c r="G164" i="1"/>
  <c r="F164" i="1"/>
  <c r="I75" i="1"/>
  <c r="H75" i="1"/>
  <c r="G75" i="1"/>
  <c r="F75" i="1"/>
  <c r="I163" i="1"/>
  <c r="H163" i="1"/>
  <c r="G163" i="1"/>
  <c r="F163" i="1"/>
  <c r="I28" i="1"/>
  <c r="H28" i="1"/>
  <c r="G28" i="1"/>
  <c r="F28" i="1"/>
  <c r="I162" i="1"/>
  <c r="H162" i="1"/>
  <c r="G162" i="1"/>
  <c r="F162" i="1"/>
  <c r="I161" i="1"/>
  <c r="H161" i="1"/>
  <c r="G161" i="1"/>
  <c r="F161" i="1"/>
  <c r="I119" i="1"/>
  <c r="H119" i="1"/>
  <c r="G119" i="1"/>
  <c r="F119" i="1"/>
  <c r="I118" i="1"/>
  <c r="H118" i="1"/>
  <c r="G118" i="1"/>
  <c r="F118" i="1"/>
  <c r="I74" i="1"/>
  <c r="H74" i="1"/>
  <c r="G74" i="1"/>
  <c r="F74" i="1"/>
  <c r="I117" i="1"/>
  <c r="H117" i="1"/>
  <c r="G117" i="1"/>
  <c r="F117" i="1"/>
  <c r="I213" i="1"/>
  <c r="H213" i="1"/>
  <c r="G213" i="1"/>
  <c r="F213" i="1"/>
  <c r="I160" i="1"/>
  <c r="H160" i="1"/>
  <c r="G160" i="1"/>
  <c r="F160" i="1"/>
  <c r="I159" i="1"/>
  <c r="H159" i="1"/>
  <c r="G159" i="1"/>
  <c r="F159" i="1"/>
  <c r="I116" i="1"/>
  <c r="H116" i="1"/>
  <c r="G116" i="1"/>
  <c r="F116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I73" i="1"/>
  <c r="H73" i="1"/>
  <c r="G73" i="1"/>
  <c r="F73" i="1"/>
  <c r="I72" i="1"/>
  <c r="H72" i="1"/>
  <c r="G72" i="1"/>
  <c r="F72" i="1"/>
  <c r="I115" i="1"/>
  <c r="H115" i="1"/>
  <c r="G115" i="1"/>
  <c r="F115" i="1"/>
  <c r="I155" i="1"/>
  <c r="H155" i="1"/>
  <c r="G155" i="1"/>
  <c r="F155" i="1"/>
  <c r="I212" i="1"/>
  <c r="H212" i="1"/>
  <c r="G212" i="1"/>
  <c r="F212" i="1"/>
  <c r="I211" i="1"/>
  <c r="H211" i="1"/>
  <c r="G211" i="1"/>
  <c r="F211" i="1"/>
  <c r="I114" i="1"/>
  <c r="H114" i="1"/>
  <c r="G114" i="1"/>
  <c r="F114" i="1"/>
  <c r="I113" i="1"/>
  <c r="H113" i="1"/>
  <c r="G113" i="1"/>
  <c r="F113" i="1"/>
  <c r="I210" i="1"/>
  <c r="H210" i="1"/>
  <c r="G210" i="1"/>
  <c r="F210" i="1"/>
  <c r="I209" i="1"/>
  <c r="H209" i="1"/>
  <c r="G209" i="1"/>
  <c r="F209" i="1"/>
  <c r="I208" i="1"/>
  <c r="H208" i="1"/>
  <c r="G208" i="1"/>
  <c r="F208" i="1"/>
  <c r="I154" i="1"/>
  <c r="H154" i="1"/>
  <c r="G154" i="1"/>
  <c r="F154" i="1"/>
  <c r="I153" i="1"/>
  <c r="H153" i="1"/>
  <c r="G153" i="1"/>
  <c r="F153" i="1"/>
  <c r="I71" i="1"/>
  <c r="H71" i="1"/>
  <c r="G71" i="1"/>
  <c r="F71" i="1"/>
  <c r="I27" i="1"/>
  <c r="H27" i="1"/>
  <c r="G27" i="1"/>
  <c r="F27" i="1"/>
  <c r="I112" i="1"/>
  <c r="H112" i="1"/>
  <c r="G112" i="1"/>
  <c r="F112" i="1"/>
  <c r="I26" i="1"/>
  <c r="H26" i="1"/>
  <c r="G26" i="1"/>
  <c r="F26" i="1"/>
  <c r="I152" i="1"/>
  <c r="H152" i="1"/>
  <c r="G152" i="1"/>
  <c r="F152" i="1"/>
  <c r="I111" i="1"/>
  <c r="H111" i="1"/>
  <c r="G111" i="1"/>
  <c r="F111" i="1"/>
  <c r="I25" i="1"/>
  <c r="H25" i="1"/>
  <c r="G25" i="1"/>
  <c r="F25" i="1"/>
  <c r="I24" i="1"/>
  <c r="H24" i="1"/>
  <c r="G24" i="1"/>
  <c r="F24" i="1"/>
  <c r="I151" i="1"/>
  <c r="H151" i="1"/>
  <c r="G151" i="1"/>
  <c r="F151" i="1"/>
  <c r="I207" i="1"/>
  <c r="H207" i="1"/>
  <c r="G207" i="1"/>
  <c r="F207" i="1"/>
  <c r="I70" i="1"/>
  <c r="H70" i="1"/>
  <c r="G70" i="1"/>
  <c r="F70" i="1"/>
  <c r="I23" i="1"/>
  <c r="H23" i="1"/>
  <c r="G23" i="1"/>
  <c r="F23" i="1"/>
  <c r="I69" i="1"/>
  <c r="H69" i="1"/>
  <c r="G69" i="1"/>
  <c r="F69" i="1"/>
  <c r="I150" i="1"/>
  <c r="H150" i="1"/>
  <c r="G150" i="1"/>
  <c r="F150" i="1"/>
  <c r="I22" i="1"/>
  <c r="H22" i="1"/>
  <c r="G22" i="1"/>
  <c r="F22" i="1"/>
  <c r="I68" i="1"/>
  <c r="H68" i="1"/>
  <c r="G68" i="1"/>
  <c r="F68" i="1"/>
  <c r="I67" i="1"/>
  <c r="H67" i="1"/>
  <c r="G67" i="1"/>
  <c r="F67" i="1"/>
  <c r="I149" i="1"/>
  <c r="H149" i="1"/>
  <c r="G149" i="1"/>
  <c r="F149" i="1"/>
  <c r="I206" i="1"/>
  <c r="H206" i="1"/>
  <c r="G206" i="1"/>
  <c r="F206" i="1"/>
  <c r="I8" i="1"/>
  <c r="H8" i="1"/>
  <c r="G8" i="1"/>
  <c r="F8" i="1"/>
  <c r="I66" i="1"/>
  <c r="H66" i="1"/>
  <c r="G66" i="1"/>
  <c r="F66" i="1"/>
  <c r="I65" i="1"/>
  <c r="H65" i="1"/>
  <c r="G65" i="1"/>
  <c r="F65" i="1"/>
  <c r="I64" i="1"/>
  <c r="H64" i="1"/>
  <c r="G64" i="1"/>
  <c r="F64" i="1"/>
  <c r="I205" i="1"/>
  <c r="H205" i="1"/>
  <c r="G205" i="1"/>
  <c r="F205" i="1"/>
  <c r="I148" i="1"/>
  <c r="H148" i="1"/>
  <c r="G148" i="1"/>
  <c r="F148" i="1"/>
  <c r="I110" i="1"/>
  <c r="H110" i="1"/>
  <c r="G110" i="1"/>
  <c r="F110" i="1"/>
  <c r="I63" i="1"/>
  <c r="H63" i="1"/>
  <c r="G63" i="1"/>
  <c r="F63" i="1"/>
  <c r="I62" i="1"/>
  <c r="H62" i="1"/>
  <c r="G62" i="1"/>
  <c r="F62" i="1"/>
  <c r="I147" i="1"/>
  <c r="H147" i="1"/>
  <c r="G147" i="1"/>
  <c r="F147" i="1"/>
  <c r="I109" i="1"/>
  <c r="H109" i="1"/>
  <c r="G109" i="1"/>
  <c r="F109" i="1"/>
  <c r="I146" i="1"/>
  <c r="H146" i="1"/>
  <c r="G146" i="1"/>
  <c r="F146" i="1"/>
  <c r="I61" i="1"/>
  <c r="H61" i="1"/>
  <c r="G61" i="1"/>
  <c r="F61" i="1"/>
  <c r="I108" i="1"/>
  <c r="H108" i="1"/>
  <c r="G108" i="1"/>
  <c r="F108" i="1"/>
  <c r="I204" i="1"/>
  <c r="H204" i="1"/>
  <c r="G204" i="1"/>
  <c r="F204" i="1"/>
  <c r="I145" i="1"/>
  <c r="H145" i="1"/>
  <c r="G145" i="1"/>
  <c r="F145" i="1"/>
  <c r="I21" i="1"/>
  <c r="H21" i="1"/>
  <c r="G21" i="1"/>
  <c r="F21" i="1"/>
  <c r="I203" i="1"/>
  <c r="H203" i="1"/>
  <c r="G203" i="1"/>
  <c r="F203" i="1"/>
  <c r="I202" i="1"/>
  <c r="H202" i="1"/>
  <c r="G202" i="1"/>
  <c r="F202" i="1"/>
  <c r="I60" i="1"/>
  <c r="H60" i="1"/>
  <c r="G60" i="1"/>
  <c r="F60" i="1"/>
  <c r="I107" i="1"/>
  <c r="H107" i="1"/>
  <c r="G107" i="1"/>
  <c r="F107" i="1"/>
  <c r="I144" i="1"/>
  <c r="H144" i="1"/>
  <c r="G144" i="1"/>
  <c r="F144" i="1"/>
  <c r="I59" i="1"/>
  <c r="H59" i="1"/>
  <c r="G59" i="1"/>
  <c r="F59" i="1"/>
  <c r="I201" i="1"/>
  <c r="H201" i="1"/>
  <c r="G201" i="1"/>
  <c r="F201" i="1"/>
  <c r="I106" i="1"/>
  <c r="H106" i="1"/>
  <c r="G106" i="1"/>
  <c r="F106" i="1"/>
  <c r="I105" i="1"/>
  <c r="H105" i="1"/>
  <c r="G105" i="1"/>
  <c r="F105" i="1"/>
  <c r="I104" i="1"/>
  <c r="H104" i="1"/>
  <c r="G104" i="1"/>
  <c r="F104" i="1"/>
  <c r="I200" i="1"/>
  <c r="H200" i="1"/>
  <c r="G200" i="1"/>
  <c r="F200" i="1"/>
  <c r="I20" i="1"/>
  <c r="H20" i="1"/>
  <c r="G20" i="1"/>
  <c r="F20" i="1"/>
  <c r="I231" i="1"/>
  <c r="H231" i="1"/>
  <c r="G231" i="1"/>
  <c r="F231" i="1"/>
  <c r="I19" i="1"/>
  <c r="H19" i="1"/>
  <c r="G19" i="1"/>
  <c r="F19" i="1"/>
  <c r="I103" i="1"/>
  <c r="H103" i="1"/>
  <c r="G103" i="1"/>
  <c r="F103" i="1"/>
  <c r="I58" i="1"/>
  <c r="G58" i="1"/>
  <c r="F58" i="1"/>
  <c r="I102" i="1"/>
  <c r="H102" i="1"/>
  <c r="G102" i="1"/>
  <c r="F102" i="1"/>
  <c r="I7" i="1"/>
  <c r="H7" i="1"/>
  <c r="G7" i="1"/>
  <c r="F7" i="1"/>
  <c r="I57" i="1"/>
  <c r="H57" i="1"/>
  <c r="G57" i="1"/>
  <c r="F57" i="1"/>
  <c r="I199" i="1"/>
  <c r="H199" i="1"/>
  <c r="G199" i="1"/>
  <c r="F199" i="1"/>
  <c r="I2" i="1"/>
  <c r="H2" i="1"/>
  <c r="G2" i="1"/>
  <c r="F2" i="1"/>
  <c r="I143" i="1"/>
  <c r="H143" i="1"/>
  <c r="G143" i="1"/>
  <c r="F143" i="1"/>
  <c r="I56" i="1"/>
  <c r="H56" i="1"/>
  <c r="G56" i="1"/>
  <c r="F56" i="1"/>
  <c r="I6" i="1"/>
  <c r="H6" i="1"/>
  <c r="G6" i="1"/>
  <c r="F6" i="1"/>
  <c r="I142" i="1"/>
  <c r="H142" i="1"/>
  <c r="G142" i="1"/>
  <c r="F142" i="1"/>
  <c r="I198" i="1"/>
  <c r="H198" i="1"/>
  <c r="G198" i="1"/>
  <c r="F198" i="1"/>
  <c r="I55" i="1"/>
  <c r="H55" i="1"/>
  <c r="G55" i="1"/>
  <c r="F55" i="1"/>
  <c r="I101" i="1"/>
  <c r="H101" i="1"/>
  <c r="G101" i="1"/>
  <c r="F101" i="1"/>
  <c r="I54" i="1"/>
  <c r="H54" i="1"/>
  <c r="G54" i="1"/>
  <c r="F54" i="1"/>
  <c r="I18" i="1"/>
  <c r="H18" i="1"/>
  <c r="G18" i="1"/>
  <c r="F18" i="1"/>
  <c r="I100" i="1"/>
  <c r="H100" i="1"/>
  <c r="G100" i="1"/>
  <c r="F100" i="1"/>
  <c r="I141" i="1"/>
  <c r="H141" i="1"/>
  <c r="G141" i="1"/>
  <c r="F141" i="1"/>
  <c r="I99" i="1"/>
  <c r="H99" i="1"/>
  <c r="G99" i="1"/>
  <c r="F99" i="1"/>
  <c r="I140" i="1"/>
  <c r="H140" i="1"/>
  <c r="G140" i="1"/>
  <c r="F140" i="1"/>
  <c r="I98" i="1"/>
  <c r="H98" i="1"/>
  <c r="G98" i="1"/>
  <c r="F98" i="1"/>
  <c r="I97" i="1"/>
  <c r="H97" i="1"/>
  <c r="G97" i="1"/>
  <c r="F97" i="1"/>
  <c r="I17" i="1"/>
  <c r="H17" i="1"/>
  <c r="G17" i="1"/>
  <c r="F17" i="1"/>
  <c r="I53" i="1"/>
  <c r="H53" i="1"/>
  <c r="G53" i="1"/>
  <c r="F53" i="1"/>
  <c r="I96" i="1"/>
  <c r="H96" i="1"/>
  <c r="G96" i="1"/>
  <c r="F96" i="1"/>
  <c r="I139" i="1"/>
  <c r="H139" i="1"/>
  <c r="G139" i="1"/>
  <c r="F139" i="1"/>
  <c r="I230" i="1"/>
  <c r="H230" i="1"/>
  <c r="G230" i="1"/>
  <c r="F230" i="1"/>
  <c r="I95" i="1"/>
  <c r="H95" i="1"/>
  <c r="G95" i="1"/>
  <c r="F95" i="1"/>
  <c r="I197" i="1"/>
  <c r="H197" i="1"/>
  <c r="G197" i="1"/>
  <c r="F197" i="1"/>
  <c r="I52" i="1"/>
  <c r="H52" i="1"/>
  <c r="G52" i="1"/>
  <c r="F52" i="1"/>
  <c r="I51" i="1"/>
  <c r="H51" i="1"/>
  <c r="G51" i="1"/>
  <c r="F51" i="1"/>
  <c r="I16" i="1"/>
  <c r="H16" i="1"/>
  <c r="G16" i="1"/>
  <c r="F16" i="1"/>
  <c r="I94" i="1"/>
  <c r="H94" i="1"/>
  <c r="G94" i="1"/>
  <c r="F94" i="1"/>
  <c r="I196" i="1"/>
  <c r="H196" i="1"/>
  <c r="G196" i="1"/>
  <c r="F196" i="1"/>
  <c r="I138" i="1"/>
  <c r="H138" i="1"/>
  <c r="G138" i="1"/>
  <c r="F138" i="1"/>
  <c r="I195" i="1"/>
  <c r="H195" i="1"/>
  <c r="G195" i="1"/>
  <c r="F195" i="1"/>
  <c r="I50" i="1"/>
  <c r="H50" i="1"/>
  <c r="G50" i="1"/>
  <c r="F50" i="1"/>
  <c r="I15" i="1"/>
  <c r="H15" i="1"/>
  <c r="G15" i="1"/>
  <c r="F15" i="1"/>
  <c r="I3" i="1"/>
  <c r="H3" i="1"/>
  <c r="G3" i="1"/>
  <c r="F3" i="1"/>
  <c r="I49" i="1"/>
  <c r="H49" i="1"/>
  <c r="G49" i="1"/>
  <c r="F49" i="1"/>
  <c r="I137" i="1"/>
  <c r="H137" i="1"/>
  <c r="G137" i="1"/>
  <c r="F137" i="1"/>
  <c r="I194" i="1"/>
  <c r="H194" i="1"/>
  <c r="G194" i="1"/>
  <c r="F194" i="1"/>
  <c r="I14" i="1"/>
  <c r="H14" i="1"/>
  <c r="G14" i="1"/>
  <c r="F14" i="1"/>
  <c r="I93" i="1"/>
  <c r="H93" i="1"/>
  <c r="G93" i="1"/>
  <c r="F93" i="1"/>
  <c r="I92" i="1"/>
  <c r="H92" i="1"/>
  <c r="G92" i="1"/>
  <c r="F92" i="1"/>
  <c r="I193" i="1"/>
  <c r="H193" i="1"/>
  <c r="G193" i="1"/>
  <c r="F193" i="1"/>
  <c r="I192" i="1"/>
  <c r="H192" i="1"/>
  <c r="G192" i="1"/>
  <c r="F192" i="1"/>
  <c r="I5" i="1"/>
  <c r="H5" i="1"/>
  <c r="G5" i="1"/>
  <c r="F5" i="1"/>
  <c r="I48" i="1"/>
  <c r="H48" i="1"/>
  <c r="G48" i="1"/>
  <c r="F48" i="1"/>
  <c r="I47" i="1"/>
  <c r="H47" i="1"/>
  <c r="G47" i="1"/>
  <c r="F47" i="1"/>
  <c r="I46" i="1"/>
  <c r="H46" i="1"/>
  <c r="G46" i="1"/>
  <c r="F46" i="1"/>
  <c r="I191" i="1"/>
  <c r="H191" i="1"/>
  <c r="G191" i="1"/>
  <c r="F191" i="1"/>
  <c r="I229" i="1"/>
  <c r="H229" i="1"/>
  <c r="G229" i="1"/>
  <c r="F229" i="1"/>
  <c r="I136" i="1"/>
  <c r="H136" i="1"/>
  <c r="G136" i="1"/>
  <c r="F136" i="1"/>
  <c r="I135" i="1"/>
  <c r="H135" i="1"/>
  <c r="G135" i="1"/>
  <c r="F135" i="1"/>
  <c r="I91" i="1"/>
  <c r="H91" i="1"/>
  <c r="G91" i="1"/>
  <c r="F91" i="1"/>
  <c r="I190" i="1"/>
  <c r="H190" i="1"/>
  <c r="G190" i="1"/>
  <c r="F190" i="1"/>
  <c r="I13" i="1"/>
  <c r="H13" i="1"/>
  <c r="G13" i="1"/>
  <c r="F13" i="1"/>
  <c r="I45" i="1"/>
  <c r="H45" i="1"/>
  <c r="G45" i="1"/>
  <c r="F45" i="1"/>
  <c r="I90" i="1"/>
  <c r="H90" i="1"/>
  <c r="G90" i="1"/>
  <c r="F90" i="1"/>
  <c r="I134" i="1"/>
  <c r="H134" i="1"/>
  <c r="G134" i="1"/>
  <c r="F134" i="1"/>
  <c r="I44" i="1"/>
  <c r="H44" i="1"/>
  <c r="G44" i="1"/>
  <c r="F44" i="1"/>
  <c r="I89" i="1"/>
  <c r="H89" i="1"/>
  <c r="G89" i="1"/>
  <c r="F89" i="1"/>
  <c r="I88" i="1"/>
  <c r="H88" i="1"/>
  <c r="G88" i="1"/>
  <c r="F88" i="1"/>
  <c r="I43" i="1"/>
  <c r="H43" i="1"/>
  <c r="G43" i="1"/>
  <c r="F43" i="1"/>
  <c r="I133" i="1"/>
  <c r="H133" i="1"/>
  <c r="G133" i="1"/>
  <c r="F133" i="1"/>
  <c r="I42" i="1"/>
  <c r="H42" i="1"/>
  <c r="G42" i="1"/>
  <c r="F42" i="1"/>
  <c r="I12" i="1"/>
  <c r="H12" i="1"/>
  <c r="G12" i="1"/>
  <c r="F12" i="1"/>
  <c r="I132" i="1"/>
  <c r="H132" i="1"/>
  <c r="G132" i="1"/>
  <c r="F132" i="1"/>
  <c r="I131" i="1"/>
  <c r="H131" i="1"/>
  <c r="G131" i="1"/>
  <c r="F131" i="1"/>
  <c r="I87" i="1"/>
  <c r="H87" i="1"/>
  <c r="G87" i="1"/>
  <c r="F87" i="1"/>
  <c r="I228" i="1"/>
  <c r="H228" i="1"/>
  <c r="G228" i="1"/>
  <c r="F228" i="1"/>
  <c r="I11" i="1"/>
  <c r="H11" i="1"/>
  <c r="G11" i="1"/>
  <c r="F11" i="1"/>
  <c r="I227" i="1"/>
  <c r="H227" i="1"/>
  <c r="G227" i="1"/>
  <c r="F227" i="1"/>
  <c r="I189" i="1"/>
  <c r="H189" i="1"/>
  <c r="G189" i="1"/>
  <c r="F189" i="1"/>
  <c r="I41" i="1"/>
  <c r="H41" i="1"/>
  <c r="G41" i="1"/>
  <c r="F41" i="1"/>
  <c r="I188" i="1"/>
  <c r="H188" i="1"/>
  <c r="G188" i="1"/>
  <c r="F188" i="1"/>
  <c r="I40" i="1"/>
  <c r="H40" i="1"/>
  <c r="G40" i="1"/>
  <c r="F40" i="1"/>
  <c r="I39" i="1"/>
  <c r="H39" i="1"/>
  <c r="G39" i="1"/>
  <c r="F39" i="1"/>
  <c r="I130" i="1"/>
  <c r="H130" i="1"/>
  <c r="G130" i="1"/>
  <c r="F130" i="1"/>
  <c r="I38" i="1"/>
  <c r="H38" i="1"/>
  <c r="G38" i="1"/>
  <c r="F38" i="1"/>
  <c r="I37" i="1"/>
  <c r="H37" i="1"/>
  <c r="G37" i="1"/>
  <c r="F37" i="1"/>
  <c r="I4" i="1"/>
  <c r="H4" i="1"/>
  <c r="G4" i="1"/>
  <c r="F4" i="1"/>
  <c r="I187" i="1"/>
  <c r="H187" i="1"/>
  <c r="G187" i="1"/>
  <c r="F187" i="1"/>
  <c r="I36" i="1"/>
  <c r="H36" i="1"/>
  <c r="G36" i="1"/>
  <c r="F36" i="1"/>
  <c r="I86" i="1"/>
  <c r="H86" i="1"/>
  <c r="G86" i="1"/>
  <c r="F86" i="1"/>
  <c r="I186" i="1"/>
  <c r="H186" i="1"/>
  <c r="G186" i="1"/>
  <c r="F186" i="1"/>
  <c r="I35" i="1"/>
  <c r="H35" i="1"/>
  <c r="G35" i="1"/>
  <c r="F35" i="1"/>
  <c r="I185" i="1"/>
  <c r="H185" i="1"/>
  <c r="G185" i="1"/>
  <c r="F185" i="1"/>
  <c r="I184" i="1"/>
  <c r="H184" i="1"/>
  <c r="G184" i="1"/>
  <c r="F184" i="1"/>
  <c r="I85" i="1"/>
  <c r="H85" i="1"/>
  <c r="G85" i="1"/>
  <c r="F85" i="1"/>
  <c r="I34" i="1"/>
  <c r="H34" i="1"/>
  <c r="G34" i="1"/>
  <c r="F34" i="1"/>
</calcChain>
</file>

<file path=xl/sharedStrings.xml><?xml version="1.0" encoding="utf-8"?>
<sst xmlns="http://schemas.openxmlformats.org/spreadsheetml/2006/main" count="944" uniqueCount="248">
  <si>
    <t>nct</t>
  </si>
  <si>
    <t>enrollment_start</t>
  </si>
  <si>
    <t>patients_enrolled</t>
  </si>
  <si>
    <t>renal_exclusion_criteria</t>
  </si>
  <si>
    <t>crabs</t>
  </si>
  <si>
    <t>crcl</t>
  </si>
  <si>
    <t>cruln</t>
  </si>
  <si>
    <t>egfr</t>
  </si>
  <si>
    <t>heterogenous</t>
  </si>
  <si>
    <t>n_a_formula</t>
  </si>
  <si>
    <t>NCT03357952</t>
  </si>
  <si>
    <t>CrCl</t>
  </si>
  <si>
    <t>NCT02801578</t>
  </si>
  <si>
    <t>n/a</t>
  </si>
  <si>
    <t>NCT02116803</t>
  </si>
  <si>
    <t>NCT02044380</t>
  </si>
  <si>
    <t>Heterogeneous</t>
  </si>
  <si>
    <t>NCT03329846</t>
  </si>
  <si>
    <t>NCT02965378</t>
  </si>
  <si>
    <t>NCT03950674</t>
  </si>
  <si>
    <t>NCT02910063</t>
  </si>
  <si>
    <t>NCT02087059</t>
  </si>
  <si>
    <t>CrABS</t>
  </si>
  <si>
    <t>NCT03941964</t>
  </si>
  <si>
    <t>NCT03123939</t>
  </si>
  <si>
    <t>NCT02793128</t>
  </si>
  <si>
    <t>eGFR</t>
  </si>
  <si>
    <t>NCT03349333</t>
  </si>
  <si>
    <t>NCT03349710</t>
  </si>
  <si>
    <t>NCT03374488</t>
  </si>
  <si>
    <t>NCT02066181</t>
  </si>
  <si>
    <t>NCT03361865</t>
  </si>
  <si>
    <t>NCT02766335</t>
  </si>
  <si>
    <t>NCT02049515</t>
  </si>
  <si>
    <t>CrULN</t>
  </si>
  <si>
    <t>NCT03635489</t>
  </si>
  <si>
    <t>NCT01926886</t>
  </si>
  <si>
    <t>NCT02905266</t>
  </si>
  <si>
    <t>NCT02393859</t>
  </si>
  <si>
    <t>NCT02604342</t>
  </si>
  <si>
    <t>NCT03406156</t>
  </si>
  <si>
    <t>NCT03476239</t>
  </si>
  <si>
    <t>NCT02371369</t>
  </si>
  <si>
    <t>NCT03029234</t>
  </si>
  <si>
    <t>NCT02776683</t>
  </si>
  <si>
    <t>NCT03933449</t>
  </si>
  <si>
    <t>NCT03875092</t>
  </si>
  <si>
    <t>NCT02301156</t>
  </si>
  <si>
    <t>NCT03288987</t>
  </si>
  <si>
    <t>NCT02979899</t>
  </si>
  <si>
    <t>NCT03353753</t>
  </si>
  <si>
    <t>NCT01974752</t>
  </si>
  <si>
    <t>NCT02600923</t>
  </si>
  <si>
    <t>NCT02449239</t>
  </si>
  <si>
    <t>NCT02617485</t>
  </si>
  <si>
    <t>NCT01987505</t>
  </si>
  <si>
    <t>NCT02162771</t>
  </si>
  <si>
    <t>NCT03261999</t>
  </si>
  <si>
    <t>NCT02991482</t>
  </si>
  <si>
    <t>NCT03093870</t>
  </si>
  <si>
    <t>NCT03745716</t>
  </si>
  <si>
    <t>NCT02184195</t>
  </si>
  <si>
    <t>NCT02101268</t>
  </si>
  <si>
    <t>NCT02773849</t>
  </si>
  <si>
    <t>NCT02726581</t>
  </si>
  <si>
    <t>NCT03410693</t>
  </si>
  <si>
    <t>NCT02165397</t>
  </si>
  <si>
    <t>NCT02545075</t>
  </si>
  <si>
    <t>NCT02989857</t>
  </si>
  <si>
    <t>NCT04173494</t>
  </si>
  <si>
    <t>NCT03414983</t>
  </si>
  <si>
    <t>NCT03053440</t>
  </si>
  <si>
    <t>NCT02027428</t>
  </si>
  <si>
    <t>NCT02231086</t>
  </si>
  <si>
    <t>NCT02279732</t>
  </si>
  <si>
    <t>NCT02980731</t>
  </si>
  <si>
    <t>NCT03126435</t>
  </si>
  <si>
    <t>NCT03106987</t>
  </si>
  <si>
    <t>NCT03149003</t>
  </si>
  <si>
    <t>NCT02264574</t>
  </si>
  <si>
    <t>NCT02611960</t>
  </si>
  <si>
    <t>NCT01940497</t>
  </si>
  <si>
    <t>NCT02383966</t>
  </si>
  <si>
    <t>NCT02896855</t>
  </si>
  <si>
    <t>NCT02709512</t>
  </si>
  <si>
    <t>NCT03286842</t>
  </si>
  <si>
    <t>NCT02747043</t>
  </si>
  <si>
    <t>NCT02756611</t>
  </si>
  <si>
    <t>NCT02260804</t>
  </si>
  <si>
    <t>NCT03850444</t>
  </si>
  <si>
    <t>NCT02282020</t>
  </si>
  <si>
    <t>NCT02737501</t>
  </si>
  <si>
    <t>NCT03402841</t>
  </si>
  <si>
    <t>NCT03150875</t>
  </si>
  <si>
    <t>NCT02755597</t>
  </si>
  <si>
    <t>NCT02920008</t>
  </si>
  <si>
    <t>NCT02142738</t>
  </si>
  <si>
    <t>NCT02563002</t>
  </si>
  <si>
    <t>NCT04066491</t>
  </si>
  <si>
    <t>NCT02809053</t>
  </si>
  <si>
    <t>NCT02472145</t>
  </si>
  <si>
    <t>NCT02586025</t>
  </si>
  <si>
    <t>NCT02578641</t>
  </si>
  <si>
    <t>NCT03197935</t>
  </si>
  <si>
    <t>NCT04109391</t>
  </si>
  <si>
    <t>NCT02606461</t>
  </si>
  <si>
    <t>NCT02855944</t>
  </si>
  <si>
    <t>NCT02627963</t>
  </si>
  <si>
    <t>NCT03629925</t>
  </si>
  <si>
    <t>NCT01938001</t>
  </si>
  <si>
    <t>NCT03594747</t>
  </si>
  <si>
    <t>NCT02105636</t>
  </si>
  <si>
    <t>NCT02788279</t>
  </si>
  <si>
    <t>NCT02713867</t>
  </si>
  <si>
    <t>NCT02631876</t>
  </si>
  <si>
    <t>NCT02039726</t>
  </si>
  <si>
    <t>NCT02864251</t>
  </si>
  <si>
    <t>NCT02625623</t>
  </si>
  <si>
    <t>NCT02714218</t>
  </si>
  <si>
    <t>NCT02987543</t>
  </si>
  <si>
    <t>NCT02005471</t>
  </si>
  <si>
    <t>NCT02213263</t>
  </si>
  <si>
    <t>NCT03607539</t>
  </si>
  <si>
    <t>NCT02435433</t>
  </si>
  <si>
    <t>NCT01974440</t>
  </si>
  <si>
    <t>NCT02702401</t>
  </si>
  <si>
    <t>NCT02907359</t>
  </si>
  <si>
    <t>NCT02436668</t>
  </si>
  <si>
    <t>NCT02864394</t>
  </si>
  <si>
    <t>NCT02545504</t>
  </si>
  <si>
    <t>NCT03262935</t>
  </si>
  <si>
    <t>NCT02898077</t>
  </si>
  <si>
    <t>NCT02954172</t>
  </si>
  <si>
    <t>NCT02421588</t>
  </si>
  <si>
    <t>NCT02131064</t>
  </si>
  <si>
    <t>NCT03061812</t>
  </si>
  <si>
    <t>NCT03066778</t>
  </si>
  <si>
    <t>NCT03191786</t>
  </si>
  <si>
    <t>NCT03726879</t>
  </si>
  <si>
    <t>NCT02347332</t>
  </si>
  <si>
    <t>NCT02562755</t>
  </si>
  <si>
    <t>NCT03042611</t>
  </si>
  <si>
    <t>NCT03158688</t>
  </si>
  <si>
    <t>NCT03465722</t>
  </si>
  <si>
    <t>NCT02412878</t>
  </si>
  <si>
    <t>NCT03098030</t>
  </si>
  <si>
    <t>NCT03088813</t>
  </si>
  <si>
    <t>NCT03151811</t>
  </si>
  <si>
    <t>NCT02252042</t>
  </si>
  <si>
    <t>NCT02625610</t>
  </si>
  <si>
    <t>NCT03493854</t>
  </si>
  <si>
    <t>T03512197</t>
  </si>
  <si>
    <t>NCT03096847</t>
  </si>
  <si>
    <t>NCT02613507</t>
  </si>
  <si>
    <t>NCT03665441</t>
  </si>
  <si>
    <t>NCT02763579</t>
  </si>
  <si>
    <t>NCT03504423</t>
  </si>
  <si>
    <t>NCT02574455</t>
  </si>
  <si>
    <t>NCT02426125</t>
  </si>
  <si>
    <t>NCT02599402</t>
  </si>
  <si>
    <t>NCT02130557</t>
  </si>
  <si>
    <t>NCT02041533</t>
  </si>
  <si>
    <t>NCT02256436</t>
  </si>
  <si>
    <t>NCT02775435</t>
  </si>
  <si>
    <t>NCT02617589</t>
  </si>
  <si>
    <t>NCT02162667</t>
  </si>
  <si>
    <t>NCT01968213</t>
  </si>
  <si>
    <t>NCT02580058</t>
  </si>
  <si>
    <t>NCT02923921</t>
  </si>
  <si>
    <t>NCT03302234</t>
  </si>
  <si>
    <t>NCT02285062</t>
  </si>
  <si>
    <t>NCT02437318</t>
  </si>
  <si>
    <t>NCT02409342</t>
  </si>
  <si>
    <t>NCT02657434</t>
  </si>
  <si>
    <t>NCT02370498</t>
  </si>
  <si>
    <t>NCT02352948</t>
  </si>
  <si>
    <t>NCT02264990</t>
  </si>
  <si>
    <t>NCT02899299</t>
  </si>
  <si>
    <t>NCT03257267</t>
  </si>
  <si>
    <t>NCT02566993</t>
  </si>
  <si>
    <t>NCT02578680</t>
  </si>
  <si>
    <t>NCT02555657</t>
  </si>
  <si>
    <t>NCT02492711</t>
  </si>
  <si>
    <t>NCT03296163</t>
  </si>
  <si>
    <t>NCT02564263</t>
  </si>
  <si>
    <t>NCT01966003</t>
  </si>
  <si>
    <t>NCT02314117</t>
  </si>
  <si>
    <t>NCT03125902</t>
  </si>
  <si>
    <t>NCT03329911</t>
  </si>
  <si>
    <t>NCT02272413</t>
  </si>
  <si>
    <t>NCT01958021</t>
  </si>
  <si>
    <t>NCT04633564</t>
  </si>
  <si>
    <t>NCT02278120</t>
  </si>
  <si>
    <t>NCT02322593</t>
  </si>
  <si>
    <t>NCT02573324</t>
  </si>
  <si>
    <t>NCT03434379</t>
  </si>
  <si>
    <t>NCT02603432</t>
  </si>
  <si>
    <t>NCT02928224</t>
  </si>
  <si>
    <t>NCT01989676</t>
  </si>
  <si>
    <t>NCT02312258</t>
  </si>
  <si>
    <t>NCT02752074</t>
  </si>
  <si>
    <t>NCT02178956</t>
  </si>
  <si>
    <t>NCT02364999</t>
  </si>
  <si>
    <t>NCT02367781</t>
  </si>
  <si>
    <t>NCT02422615</t>
  </si>
  <si>
    <t>NCT03416179</t>
  </si>
  <si>
    <t>NCT02810457</t>
  </si>
  <si>
    <t>NCT02369874</t>
  </si>
  <si>
    <t>NCT03189719</t>
  </si>
  <si>
    <t>NCT02494583</t>
  </si>
  <si>
    <t>NCT02149108</t>
  </si>
  <si>
    <t>NCT03830866</t>
  </si>
  <si>
    <t>NCT03016312</t>
  </si>
  <si>
    <t>NCT02481830</t>
  </si>
  <si>
    <t>NCT03635983</t>
  </si>
  <si>
    <t>NCT02395172</t>
  </si>
  <si>
    <t>NCT03556358</t>
  </si>
  <si>
    <t>NCT02394795</t>
  </si>
  <si>
    <t>NCT02348489</t>
  </si>
  <si>
    <t>NCT02551159</t>
  </si>
  <si>
    <t>NCT01964430</t>
  </si>
  <si>
    <t>NCT03084471</t>
  </si>
  <si>
    <t>NCT02149524</t>
  </si>
  <si>
    <t>NCT02358031</t>
  </si>
  <si>
    <t>NCT02425891</t>
  </si>
  <si>
    <t>NCT02420821</t>
  </si>
  <si>
    <t>NCT03085095</t>
  </si>
  <si>
    <t>NCT02302807</t>
  </si>
  <si>
    <t>NCT02741570</t>
  </si>
  <si>
    <t>NCT02569242</t>
  </si>
  <si>
    <t>NCT02853305</t>
  </si>
  <si>
    <t>NCT02367794</t>
  </si>
  <si>
    <t>NCT03834506</t>
  </si>
  <si>
    <t>NCT02993731</t>
  </si>
  <si>
    <t>NCT02111577</t>
  </si>
  <si>
    <t>NCT02366143</t>
  </si>
  <si>
    <t>NCT02008227</t>
  </si>
  <si>
    <t>NCT02753127</t>
  </si>
  <si>
    <t>NCT02220894</t>
  </si>
  <si>
    <t>NCT03038100</t>
  </si>
  <si>
    <t>NCT02799602</t>
  </si>
  <si>
    <t>NCT02066636</t>
  </si>
  <si>
    <t>NCT02200614</t>
  </si>
  <si>
    <t>NCT03068455</t>
  </si>
  <si>
    <t>NCT01966471</t>
  </si>
  <si>
    <t>NCT02941926</t>
  </si>
  <si>
    <t>cr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</si>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</sst>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AEF9-11B8-C14C-AB1B-899963DADBD7}">
  <dimension ref="A1:J232"/>
  <sheetViews>
    <sheetView tabSelected="1" workbookViewId="0">
      <selection activeCell="D25" sqref="D25"/>
    </sheetView>
  </sheetViews>
  <sheetFormatPr baseColWidth="10" defaultRowHeight="16" x14ac:dyDescent="0.2"/>
  <cols>
    <col min="2" max="2" width="8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246</v>
      </c>
      <c r="F1" t="s">
        <v>5</v>
      </c>
      <c r="G1" t="s">
        <v>7</v>
      </c>
      <c r="H1" t="s">
        <v>8</v>
      </c>
      <c r="I1" t="s">
        <v>9</v>
      </c>
      <c r="J1" t="s">
        <v>247</v>
      </c>
    </row>
    <row r="2" spans="1:10" x14ac:dyDescent="0.2">
      <c r="A2" t="s">
        <v>101</v>
      </c>
      <c r="B2">
        <v>2022</v>
      </c>
      <c r="C2">
        <v>329</v>
      </c>
      <c r="D2" t="s">
        <v>34</v>
      </c>
      <c r="E2">
        <f t="shared" ref="E2:E65" si="0">IF(OR(ISNUMBER(FIND("CrABS", D2)), ISNUMBER(FIND("CrULN", D2))), 1, 0)</f>
        <v>1</v>
      </c>
      <c r="F2">
        <f t="shared" ref="F2:F65" si="1">IF(ISNUMBER(FIND("CrCl", D2)), 1, 0)</f>
        <v>0</v>
      </c>
      <c r="G2">
        <f t="shared" ref="G2:G65" si="2">IF(ISNUMBER(FIND("eGFR", D2)), 1, 0)</f>
        <v>0</v>
      </c>
      <c r="H2">
        <f t="shared" ref="H2:H33" si="3">IF(ISNUMBER(FIND("Heterogeneous", D2)), 1, 0)</f>
        <v>0</v>
      </c>
      <c r="I2">
        <f t="shared" ref="I2:I65" si="4">IF(ISNUMBER(FIND("n/a", D2)), 1, 0)</f>
        <v>0</v>
      </c>
      <c r="J2">
        <v>0</v>
      </c>
    </row>
    <row r="3" spans="1:10" x14ac:dyDescent="0.2">
      <c r="A3" t="s">
        <v>69</v>
      </c>
      <c r="B3">
        <v>2020</v>
      </c>
      <c r="C3">
        <v>195</v>
      </c>
      <c r="D3" t="s">
        <v>11</v>
      </c>
      <c r="E3">
        <f t="shared" si="0"/>
        <v>0</v>
      </c>
      <c r="F3">
        <f t="shared" si="1"/>
        <v>1</v>
      </c>
      <c r="G3">
        <f t="shared" si="2"/>
        <v>0</v>
      </c>
      <c r="H3">
        <f t="shared" si="3"/>
        <v>0</v>
      </c>
      <c r="I3">
        <f t="shared" si="4"/>
        <v>0</v>
      </c>
      <c r="J3">
        <v>0</v>
      </c>
    </row>
    <row r="4" spans="1:10" x14ac:dyDescent="0.2">
      <c r="A4" t="s">
        <v>23</v>
      </c>
      <c r="B4">
        <v>2019</v>
      </c>
      <c r="C4">
        <v>60</v>
      </c>
      <c r="D4" t="s">
        <v>11</v>
      </c>
      <c r="E4">
        <f t="shared" si="0"/>
        <v>0</v>
      </c>
      <c r="F4">
        <f t="shared" si="1"/>
        <v>1</v>
      </c>
      <c r="G4">
        <f t="shared" si="2"/>
        <v>0</v>
      </c>
      <c r="H4">
        <f t="shared" si="3"/>
        <v>0</v>
      </c>
      <c r="I4">
        <f t="shared" si="4"/>
        <v>0</v>
      </c>
      <c r="J4">
        <v>0</v>
      </c>
    </row>
    <row r="5" spans="1:10" x14ac:dyDescent="0.2">
      <c r="A5" t="s">
        <v>60</v>
      </c>
      <c r="B5">
        <v>2019</v>
      </c>
      <c r="C5">
        <v>154</v>
      </c>
      <c r="D5" t="s">
        <v>11</v>
      </c>
      <c r="E5">
        <f t="shared" si="0"/>
        <v>0</v>
      </c>
      <c r="F5">
        <f t="shared" si="1"/>
        <v>1</v>
      </c>
      <c r="G5">
        <f t="shared" si="2"/>
        <v>0</v>
      </c>
      <c r="H5">
        <f t="shared" si="3"/>
        <v>0</v>
      </c>
      <c r="I5">
        <f t="shared" si="4"/>
        <v>0</v>
      </c>
      <c r="J5">
        <v>0</v>
      </c>
    </row>
    <row r="6" spans="1:10" x14ac:dyDescent="0.2">
      <c r="A6" t="s">
        <v>98</v>
      </c>
      <c r="B6">
        <v>2019</v>
      </c>
      <c r="C6">
        <v>309</v>
      </c>
      <c r="D6" t="s">
        <v>11</v>
      </c>
      <c r="E6">
        <f t="shared" si="0"/>
        <v>0</v>
      </c>
      <c r="F6">
        <f t="shared" si="1"/>
        <v>1</v>
      </c>
      <c r="G6">
        <f t="shared" si="2"/>
        <v>0</v>
      </c>
      <c r="H6">
        <f t="shared" si="3"/>
        <v>0</v>
      </c>
      <c r="I6">
        <f t="shared" si="4"/>
        <v>0</v>
      </c>
      <c r="J6">
        <v>0</v>
      </c>
    </row>
    <row r="7" spans="1:10" x14ac:dyDescent="0.2">
      <c r="A7" t="s">
        <v>104</v>
      </c>
      <c r="B7">
        <v>2019</v>
      </c>
      <c r="C7">
        <v>338</v>
      </c>
      <c r="D7" t="s">
        <v>13</v>
      </c>
      <c r="E7">
        <f t="shared" si="0"/>
        <v>0</v>
      </c>
      <c r="F7">
        <f t="shared" si="1"/>
        <v>0</v>
      </c>
      <c r="G7">
        <f t="shared" si="2"/>
        <v>0</v>
      </c>
      <c r="H7">
        <f t="shared" si="3"/>
        <v>0</v>
      </c>
      <c r="I7">
        <f t="shared" si="4"/>
        <v>1</v>
      </c>
      <c r="J7">
        <v>0</v>
      </c>
    </row>
    <row r="8" spans="1:10" x14ac:dyDescent="0.2">
      <c r="A8" t="s">
        <v>138</v>
      </c>
      <c r="B8">
        <v>2019</v>
      </c>
      <c r="C8">
        <v>454</v>
      </c>
      <c r="D8" t="s">
        <v>11</v>
      </c>
      <c r="E8">
        <f t="shared" si="0"/>
        <v>0</v>
      </c>
      <c r="F8">
        <f t="shared" si="1"/>
        <v>1</v>
      </c>
      <c r="G8">
        <f t="shared" si="2"/>
        <v>0</v>
      </c>
      <c r="H8">
        <f t="shared" si="3"/>
        <v>0</v>
      </c>
      <c r="I8">
        <f t="shared" si="4"/>
        <v>0</v>
      </c>
      <c r="J8">
        <v>0</v>
      </c>
    </row>
    <row r="9" spans="1:10" x14ac:dyDescent="0.2">
      <c r="A9" t="s">
        <v>211</v>
      </c>
      <c r="B9">
        <v>2019</v>
      </c>
      <c r="C9">
        <v>770</v>
      </c>
      <c r="D9" t="s">
        <v>11</v>
      </c>
      <c r="E9">
        <f t="shared" si="0"/>
        <v>0</v>
      </c>
      <c r="F9">
        <f t="shared" si="1"/>
        <v>1</v>
      </c>
      <c r="G9">
        <f t="shared" si="2"/>
        <v>0</v>
      </c>
      <c r="H9">
        <f t="shared" si="3"/>
        <v>0</v>
      </c>
      <c r="I9">
        <f t="shared" si="4"/>
        <v>0</v>
      </c>
      <c r="J9">
        <v>0</v>
      </c>
    </row>
    <row r="10" spans="1:10" x14ac:dyDescent="0.2">
      <c r="A10" t="s">
        <v>232</v>
      </c>
      <c r="B10">
        <v>2019</v>
      </c>
      <c r="C10">
        <v>1030</v>
      </c>
      <c r="D10" t="s">
        <v>16</v>
      </c>
      <c r="E10">
        <f t="shared" si="0"/>
        <v>0</v>
      </c>
      <c r="F10">
        <f t="shared" si="1"/>
        <v>0</v>
      </c>
      <c r="G10">
        <f t="shared" si="2"/>
        <v>0</v>
      </c>
      <c r="H10">
        <f t="shared" si="3"/>
        <v>1</v>
      </c>
      <c r="I10">
        <f t="shared" si="4"/>
        <v>0</v>
      </c>
      <c r="J10">
        <v>0</v>
      </c>
    </row>
    <row r="11" spans="1:10" x14ac:dyDescent="0.2">
      <c r="A11" t="s">
        <v>35</v>
      </c>
      <c r="B11">
        <v>2018</v>
      </c>
      <c r="C11">
        <v>100</v>
      </c>
      <c r="D11" t="s">
        <v>11</v>
      </c>
      <c r="E11">
        <f t="shared" si="0"/>
        <v>0</v>
      </c>
      <c r="F11">
        <f t="shared" si="1"/>
        <v>1</v>
      </c>
      <c r="G11">
        <f t="shared" si="2"/>
        <v>0</v>
      </c>
      <c r="H11">
        <f t="shared" si="3"/>
        <v>0</v>
      </c>
      <c r="I11">
        <f t="shared" si="4"/>
        <v>0</v>
      </c>
      <c r="J11">
        <v>0</v>
      </c>
    </row>
    <row r="12" spans="1:10" x14ac:dyDescent="0.2">
      <c r="A12" t="s">
        <v>40</v>
      </c>
      <c r="B12">
        <v>2018</v>
      </c>
      <c r="C12">
        <v>120</v>
      </c>
      <c r="D12" t="s">
        <v>11</v>
      </c>
      <c r="E12">
        <f t="shared" si="0"/>
        <v>0</v>
      </c>
      <c r="F12">
        <f t="shared" si="1"/>
        <v>1</v>
      </c>
      <c r="G12">
        <f t="shared" si="2"/>
        <v>0</v>
      </c>
      <c r="H12">
        <f t="shared" si="3"/>
        <v>0</v>
      </c>
      <c r="I12">
        <f t="shared" si="4"/>
        <v>0</v>
      </c>
      <c r="J12">
        <v>0</v>
      </c>
    </row>
    <row r="13" spans="1:10" x14ac:dyDescent="0.2">
      <c r="A13" t="s">
        <v>50</v>
      </c>
      <c r="B13">
        <v>2018</v>
      </c>
      <c r="C13">
        <v>129</v>
      </c>
      <c r="D13" t="s">
        <v>16</v>
      </c>
      <c r="E13">
        <f t="shared" si="0"/>
        <v>0</v>
      </c>
      <c r="F13">
        <f t="shared" si="1"/>
        <v>0</v>
      </c>
      <c r="G13">
        <f t="shared" si="2"/>
        <v>0</v>
      </c>
      <c r="H13">
        <f t="shared" si="3"/>
        <v>1</v>
      </c>
      <c r="I13">
        <f t="shared" si="4"/>
        <v>0</v>
      </c>
      <c r="J13">
        <v>0</v>
      </c>
    </row>
    <row r="14" spans="1:10" x14ac:dyDescent="0.2">
      <c r="A14" t="s">
        <v>65</v>
      </c>
      <c r="B14">
        <v>2018</v>
      </c>
      <c r="C14">
        <v>175</v>
      </c>
      <c r="D14" t="s">
        <v>13</v>
      </c>
      <c r="E14">
        <f t="shared" si="0"/>
        <v>0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1</v>
      </c>
      <c r="J14">
        <v>0</v>
      </c>
    </row>
    <row r="15" spans="1:10" x14ac:dyDescent="0.2">
      <c r="A15" t="s">
        <v>70</v>
      </c>
      <c r="B15">
        <v>2018</v>
      </c>
      <c r="C15">
        <v>195</v>
      </c>
      <c r="D15" t="s">
        <v>11</v>
      </c>
      <c r="E15">
        <f t="shared" si="0"/>
        <v>0</v>
      </c>
      <c r="F15">
        <f t="shared" si="1"/>
        <v>1</v>
      </c>
      <c r="G15">
        <f t="shared" si="2"/>
        <v>0</v>
      </c>
      <c r="H15">
        <f t="shared" si="3"/>
        <v>0</v>
      </c>
      <c r="I15">
        <f t="shared" si="4"/>
        <v>0</v>
      </c>
      <c r="J15">
        <v>0</v>
      </c>
    </row>
    <row r="16" spans="1:10" x14ac:dyDescent="0.2">
      <c r="A16" t="s">
        <v>76</v>
      </c>
      <c r="B16">
        <v>2018</v>
      </c>
      <c r="C16">
        <v>218</v>
      </c>
      <c r="D16" t="s">
        <v>22</v>
      </c>
      <c r="E16">
        <f t="shared" si="0"/>
        <v>1</v>
      </c>
      <c r="F16">
        <f t="shared" si="1"/>
        <v>0</v>
      </c>
      <c r="G16">
        <f t="shared" si="2"/>
        <v>0</v>
      </c>
      <c r="H16">
        <f t="shared" si="3"/>
        <v>0</v>
      </c>
      <c r="I16">
        <f t="shared" si="4"/>
        <v>0</v>
      </c>
      <c r="J16">
        <v>0</v>
      </c>
    </row>
    <row r="17" spans="1:10" x14ac:dyDescent="0.2">
      <c r="A17" t="s">
        <v>85</v>
      </c>
      <c r="B17">
        <v>2018</v>
      </c>
      <c r="C17">
        <v>252</v>
      </c>
      <c r="D17" t="s">
        <v>11</v>
      </c>
      <c r="E17">
        <f t="shared" si="0"/>
        <v>0</v>
      </c>
      <c r="F17">
        <f t="shared" si="1"/>
        <v>1</v>
      </c>
      <c r="G17">
        <f t="shared" si="2"/>
        <v>0</v>
      </c>
      <c r="H17">
        <f t="shared" si="3"/>
        <v>0</v>
      </c>
      <c r="I17">
        <f t="shared" si="4"/>
        <v>0</v>
      </c>
      <c r="J17">
        <v>0</v>
      </c>
    </row>
    <row r="18" spans="1:10" x14ac:dyDescent="0.2">
      <c r="A18" t="s">
        <v>92</v>
      </c>
      <c r="B18">
        <v>2018</v>
      </c>
      <c r="C18">
        <v>279</v>
      </c>
      <c r="D18" t="s">
        <v>11</v>
      </c>
      <c r="E18">
        <f t="shared" si="0"/>
        <v>0</v>
      </c>
      <c r="F18">
        <f t="shared" si="1"/>
        <v>1</v>
      </c>
      <c r="G18">
        <f t="shared" si="2"/>
        <v>0</v>
      </c>
      <c r="H18">
        <f t="shared" si="3"/>
        <v>0</v>
      </c>
      <c r="I18">
        <f t="shared" si="4"/>
        <v>0</v>
      </c>
      <c r="J18">
        <v>0</v>
      </c>
    </row>
    <row r="19" spans="1:10" x14ac:dyDescent="0.2">
      <c r="A19" t="s">
        <v>108</v>
      </c>
      <c r="B19">
        <v>2018</v>
      </c>
      <c r="C19">
        <v>357</v>
      </c>
      <c r="D19" t="s">
        <v>11</v>
      </c>
      <c r="E19">
        <f t="shared" si="0"/>
        <v>0</v>
      </c>
      <c r="F19">
        <f t="shared" si="1"/>
        <v>1</v>
      </c>
      <c r="G19">
        <f t="shared" si="2"/>
        <v>0</v>
      </c>
      <c r="H19">
        <f t="shared" si="3"/>
        <v>0</v>
      </c>
      <c r="I19">
        <f t="shared" si="4"/>
        <v>0</v>
      </c>
      <c r="J19">
        <v>0</v>
      </c>
    </row>
    <row r="20" spans="1:10" x14ac:dyDescent="0.2">
      <c r="A20" t="s">
        <v>110</v>
      </c>
      <c r="B20">
        <v>2018</v>
      </c>
      <c r="C20">
        <v>360</v>
      </c>
      <c r="D20" t="s">
        <v>16</v>
      </c>
      <c r="E20">
        <f t="shared" si="0"/>
        <v>0</v>
      </c>
      <c r="F20">
        <f t="shared" si="1"/>
        <v>0</v>
      </c>
      <c r="G20">
        <f t="shared" si="2"/>
        <v>0</v>
      </c>
      <c r="H20">
        <f t="shared" si="3"/>
        <v>1</v>
      </c>
      <c r="I20">
        <f t="shared" si="4"/>
        <v>0</v>
      </c>
      <c r="J20">
        <v>0</v>
      </c>
    </row>
    <row r="21" spans="1:10" x14ac:dyDescent="0.2">
      <c r="A21" t="s">
        <v>122</v>
      </c>
      <c r="B21">
        <v>2018</v>
      </c>
      <c r="C21">
        <v>397</v>
      </c>
      <c r="D21" t="s">
        <v>16</v>
      </c>
      <c r="E21">
        <f t="shared" si="0"/>
        <v>0</v>
      </c>
      <c r="F21">
        <f t="shared" si="1"/>
        <v>0</v>
      </c>
      <c r="G21">
        <f t="shared" si="2"/>
        <v>0</v>
      </c>
      <c r="H21">
        <f t="shared" si="3"/>
        <v>1</v>
      </c>
      <c r="I21">
        <f t="shared" si="4"/>
        <v>0</v>
      </c>
      <c r="J21">
        <v>0</v>
      </c>
    </row>
    <row r="22" spans="1:10" x14ac:dyDescent="0.2">
      <c r="A22" t="s">
        <v>143</v>
      </c>
      <c r="B22">
        <v>2018</v>
      </c>
      <c r="C22">
        <v>476</v>
      </c>
      <c r="D22" t="s">
        <v>11</v>
      </c>
      <c r="E22">
        <f t="shared" si="0"/>
        <v>0</v>
      </c>
      <c r="F22">
        <f t="shared" si="1"/>
        <v>1</v>
      </c>
      <c r="G22">
        <f t="shared" si="2"/>
        <v>0</v>
      </c>
      <c r="H22">
        <f t="shared" si="3"/>
        <v>0</v>
      </c>
      <c r="I22">
        <f t="shared" si="4"/>
        <v>0</v>
      </c>
      <c r="J22">
        <v>0</v>
      </c>
    </row>
    <row r="23" spans="1:10" x14ac:dyDescent="0.2">
      <c r="A23" t="s">
        <v>146</v>
      </c>
      <c r="B23">
        <v>2018</v>
      </c>
      <c r="C23">
        <v>491</v>
      </c>
      <c r="D23" t="s">
        <v>11</v>
      </c>
      <c r="E23">
        <f t="shared" si="0"/>
        <v>0</v>
      </c>
      <c r="F23">
        <f t="shared" si="1"/>
        <v>1</v>
      </c>
      <c r="G23">
        <f t="shared" si="2"/>
        <v>0</v>
      </c>
      <c r="H23">
        <f t="shared" si="3"/>
        <v>0</v>
      </c>
      <c r="I23">
        <f t="shared" si="4"/>
        <v>0</v>
      </c>
      <c r="J23">
        <v>0</v>
      </c>
    </row>
    <row r="24" spans="1:10" x14ac:dyDescent="0.2">
      <c r="A24" t="s">
        <v>150</v>
      </c>
      <c r="B24">
        <v>2018</v>
      </c>
      <c r="C24">
        <v>500</v>
      </c>
      <c r="D24" t="s">
        <v>34</v>
      </c>
      <c r="E24">
        <f t="shared" si="0"/>
        <v>1</v>
      </c>
      <c r="F24">
        <f t="shared" si="1"/>
        <v>0</v>
      </c>
      <c r="G24">
        <f t="shared" si="2"/>
        <v>0</v>
      </c>
      <c r="H24">
        <f t="shared" si="3"/>
        <v>0</v>
      </c>
      <c r="I24">
        <f t="shared" si="4"/>
        <v>0</v>
      </c>
      <c r="J24">
        <v>0</v>
      </c>
    </row>
    <row r="25" spans="1:10" x14ac:dyDescent="0.2">
      <c r="A25" t="s">
        <v>151</v>
      </c>
      <c r="B25">
        <v>2018</v>
      </c>
      <c r="C25">
        <v>501</v>
      </c>
      <c r="D25" t="s">
        <v>11</v>
      </c>
      <c r="E25">
        <f t="shared" si="0"/>
        <v>0</v>
      </c>
      <c r="F25">
        <f t="shared" si="1"/>
        <v>1</v>
      </c>
      <c r="G25">
        <f t="shared" si="2"/>
        <v>0</v>
      </c>
      <c r="H25">
        <f t="shared" si="3"/>
        <v>0</v>
      </c>
      <c r="I25">
        <f t="shared" si="4"/>
        <v>0</v>
      </c>
      <c r="J25">
        <v>0</v>
      </c>
    </row>
    <row r="26" spans="1:10" x14ac:dyDescent="0.2">
      <c r="A26" t="s">
        <v>154</v>
      </c>
      <c r="B26">
        <v>2018</v>
      </c>
      <c r="C26">
        <v>512</v>
      </c>
      <c r="D26" t="s">
        <v>11</v>
      </c>
      <c r="E26">
        <f t="shared" si="0"/>
        <v>0</v>
      </c>
      <c r="F26">
        <f t="shared" si="1"/>
        <v>1</v>
      </c>
      <c r="G26">
        <f t="shared" si="2"/>
        <v>0</v>
      </c>
      <c r="H26">
        <f t="shared" si="3"/>
        <v>0</v>
      </c>
      <c r="I26">
        <f t="shared" si="4"/>
        <v>0</v>
      </c>
      <c r="J26">
        <v>0</v>
      </c>
    </row>
    <row r="27" spans="1:10" x14ac:dyDescent="0.2">
      <c r="A27" t="s">
        <v>156</v>
      </c>
      <c r="B27">
        <v>2018</v>
      </c>
      <c r="C27">
        <v>528</v>
      </c>
      <c r="D27" t="s">
        <v>11</v>
      </c>
      <c r="E27">
        <f t="shared" si="0"/>
        <v>0</v>
      </c>
      <c r="F27">
        <f t="shared" si="1"/>
        <v>1</v>
      </c>
      <c r="G27">
        <f t="shared" si="2"/>
        <v>0</v>
      </c>
      <c r="H27">
        <f t="shared" si="3"/>
        <v>0</v>
      </c>
      <c r="I27">
        <f t="shared" si="4"/>
        <v>0</v>
      </c>
      <c r="J27">
        <v>0</v>
      </c>
    </row>
    <row r="28" spans="1:10" x14ac:dyDescent="0.2">
      <c r="A28" t="s">
        <v>183</v>
      </c>
      <c r="B28">
        <v>2018</v>
      </c>
      <c r="C28">
        <v>627</v>
      </c>
      <c r="D28" t="s">
        <v>16</v>
      </c>
      <c r="E28">
        <f t="shared" si="0"/>
        <v>0</v>
      </c>
      <c r="F28">
        <f t="shared" si="1"/>
        <v>0</v>
      </c>
      <c r="G28">
        <f t="shared" si="2"/>
        <v>0</v>
      </c>
      <c r="H28">
        <f t="shared" si="3"/>
        <v>1</v>
      </c>
      <c r="I28">
        <f t="shared" si="4"/>
        <v>0</v>
      </c>
      <c r="J28">
        <v>0</v>
      </c>
    </row>
    <row r="29" spans="1:10" x14ac:dyDescent="0.2">
      <c r="A29" t="s">
        <v>195</v>
      </c>
      <c r="B29">
        <v>2018</v>
      </c>
      <c r="C29">
        <v>695</v>
      </c>
      <c r="D29" t="s">
        <v>16</v>
      </c>
      <c r="E29">
        <f t="shared" si="0"/>
        <v>0</v>
      </c>
      <c r="F29">
        <f t="shared" si="1"/>
        <v>0</v>
      </c>
      <c r="G29">
        <f t="shared" si="2"/>
        <v>0</v>
      </c>
      <c r="H29">
        <f t="shared" si="3"/>
        <v>1</v>
      </c>
      <c r="I29">
        <f t="shared" si="4"/>
        <v>0</v>
      </c>
      <c r="J29">
        <v>0</v>
      </c>
    </row>
    <row r="30" spans="1:10" x14ac:dyDescent="0.2">
      <c r="A30" t="s">
        <v>204</v>
      </c>
      <c r="B30">
        <v>2018</v>
      </c>
      <c r="C30">
        <v>726</v>
      </c>
      <c r="D30" t="s">
        <v>34</v>
      </c>
      <c r="E30">
        <f t="shared" si="0"/>
        <v>1</v>
      </c>
      <c r="F30">
        <f t="shared" si="1"/>
        <v>0</v>
      </c>
      <c r="G30">
        <f t="shared" si="2"/>
        <v>0</v>
      </c>
      <c r="H30">
        <f t="shared" si="3"/>
        <v>0</v>
      </c>
      <c r="I30">
        <f t="shared" si="4"/>
        <v>0</v>
      </c>
      <c r="J30">
        <v>0</v>
      </c>
    </row>
    <row r="31" spans="1:10" x14ac:dyDescent="0.2">
      <c r="A31" t="s">
        <v>205</v>
      </c>
      <c r="B31">
        <v>2018</v>
      </c>
      <c r="C31">
        <v>729</v>
      </c>
      <c r="D31" t="s">
        <v>11</v>
      </c>
      <c r="E31">
        <f t="shared" si="0"/>
        <v>0</v>
      </c>
      <c r="F31">
        <f t="shared" si="1"/>
        <v>1</v>
      </c>
      <c r="G31">
        <f t="shared" si="2"/>
        <v>0</v>
      </c>
      <c r="H31">
        <f t="shared" si="3"/>
        <v>0</v>
      </c>
      <c r="I31">
        <f t="shared" si="4"/>
        <v>0</v>
      </c>
      <c r="J31">
        <v>0</v>
      </c>
    </row>
    <row r="32" spans="1:10" x14ac:dyDescent="0.2">
      <c r="A32" t="s">
        <v>214</v>
      </c>
      <c r="B32">
        <v>2018</v>
      </c>
      <c r="C32">
        <v>783</v>
      </c>
      <c r="D32" t="s">
        <v>16</v>
      </c>
      <c r="E32">
        <f t="shared" si="0"/>
        <v>0</v>
      </c>
      <c r="F32">
        <f t="shared" si="1"/>
        <v>0</v>
      </c>
      <c r="G32">
        <f t="shared" si="2"/>
        <v>0</v>
      </c>
      <c r="H32">
        <f t="shared" si="3"/>
        <v>1</v>
      </c>
      <c r="I32">
        <f t="shared" si="4"/>
        <v>0</v>
      </c>
      <c r="J32">
        <v>0</v>
      </c>
    </row>
    <row r="33" spans="1:10" x14ac:dyDescent="0.2">
      <c r="A33" t="s">
        <v>216</v>
      </c>
      <c r="B33">
        <v>2018</v>
      </c>
      <c r="C33">
        <v>794</v>
      </c>
      <c r="D33" t="s">
        <v>11</v>
      </c>
      <c r="E33">
        <f t="shared" si="0"/>
        <v>0</v>
      </c>
      <c r="F33">
        <f t="shared" si="1"/>
        <v>1</v>
      </c>
      <c r="G33">
        <f t="shared" si="2"/>
        <v>0</v>
      </c>
      <c r="H33">
        <f t="shared" si="3"/>
        <v>0</v>
      </c>
      <c r="I33">
        <f t="shared" si="4"/>
        <v>0</v>
      </c>
      <c r="J33">
        <v>0</v>
      </c>
    </row>
    <row r="34" spans="1:10" x14ac:dyDescent="0.2">
      <c r="A34" t="s">
        <v>10</v>
      </c>
      <c r="B34">
        <v>2017</v>
      </c>
      <c r="C34">
        <v>10</v>
      </c>
      <c r="D34" t="s">
        <v>11</v>
      </c>
      <c r="E34">
        <f t="shared" si="0"/>
        <v>0</v>
      </c>
      <c r="F34">
        <f t="shared" si="1"/>
        <v>1</v>
      </c>
      <c r="G34">
        <f t="shared" si="2"/>
        <v>0</v>
      </c>
      <c r="H34">
        <f t="shared" ref="H34:H57" si="5">IF(ISNUMBER(FIND("Heterogeneous", D34)), 1, 0)</f>
        <v>0</v>
      </c>
      <c r="I34">
        <f t="shared" si="4"/>
        <v>0</v>
      </c>
      <c r="J34">
        <v>0</v>
      </c>
    </row>
    <row r="35" spans="1:10" x14ac:dyDescent="0.2">
      <c r="A35" t="s">
        <v>17</v>
      </c>
      <c r="B35">
        <v>2017</v>
      </c>
      <c r="C35">
        <v>20</v>
      </c>
      <c r="D35" t="s">
        <v>16</v>
      </c>
      <c r="E35">
        <f t="shared" si="0"/>
        <v>0</v>
      </c>
      <c r="F35">
        <f t="shared" si="1"/>
        <v>0</v>
      </c>
      <c r="G35">
        <f t="shared" si="2"/>
        <v>0</v>
      </c>
      <c r="H35">
        <f t="shared" si="5"/>
        <v>1</v>
      </c>
      <c r="I35">
        <f t="shared" si="4"/>
        <v>0</v>
      </c>
      <c r="J35">
        <v>0</v>
      </c>
    </row>
    <row r="36" spans="1:10" x14ac:dyDescent="0.2">
      <c r="A36" t="s">
        <v>20</v>
      </c>
      <c r="B36">
        <v>2017</v>
      </c>
      <c r="C36">
        <v>41</v>
      </c>
      <c r="D36" t="s">
        <v>11</v>
      </c>
      <c r="E36">
        <f t="shared" si="0"/>
        <v>0</v>
      </c>
      <c r="F36">
        <f t="shared" si="1"/>
        <v>1</v>
      </c>
      <c r="G36">
        <f t="shared" si="2"/>
        <v>0</v>
      </c>
      <c r="H36">
        <f t="shared" si="5"/>
        <v>0</v>
      </c>
      <c r="I36">
        <f t="shared" si="4"/>
        <v>0</v>
      </c>
      <c r="J36">
        <v>0</v>
      </c>
    </row>
    <row r="37" spans="1:10" x14ac:dyDescent="0.2">
      <c r="A37" t="s">
        <v>24</v>
      </c>
      <c r="B37">
        <v>2017</v>
      </c>
      <c r="C37">
        <v>69</v>
      </c>
      <c r="D37" t="s">
        <v>22</v>
      </c>
      <c r="E37">
        <f t="shared" si="0"/>
        <v>1</v>
      </c>
      <c r="F37">
        <f t="shared" si="1"/>
        <v>0</v>
      </c>
      <c r="G37">
        <f t="shared" si="2"/>
        <v>0</v>
      </c>
      <c r="H37">
        <f t="shared" si="5"/>
        <v>0</v>
      </c>
      <c r="I37">
        <f t="shared" si="4"/>
        <v>0</v>
      </c>
      <c r="J37">
        <v>0</v>
      </c>
    </row>
    <row r="38" spans="1:10" x14ac:dyDescent="0.2">
      <c r="A38" t="s">
        <v>25</v>
      </c>
      <c r="B38">
        <v>2017</v>
      </c>
      <c r="C38">
        <v>71</v>
      </c>
      <c r="D38" t="s">
        <v>26</v>
      </c>
      <c r="E38">
        <f t="shared" si="0"/>
        <v>0</v>
      </c>
      <c r="F38">
        <f t="shared" si="1"/>
        <v>0</v>
      </c>
      <c r="G38">
        <f t="shared" si="2"/>
        <v>1</v>
      </c>
      <c r="H38">
        <f t="shared" si="5"/>
        <v>0</v>
      </c>
      <c r="I38">
        <f t="shared" si="4"/>
        <v>0</v>
      </c>
      <c r="J38">
        <v>0</v>
      </c>
    </row>
    <row r="39" spans="1:10" x14ac:dyDescent="0.2">
      <c r="A39" t="s">
        <v>28</v>
      </c>
      <c r="B39">
        <v>2017</v>
      </c>
      <c r="C39">
        <v>74</v>
      </c>
      <c r="D39" t="s">
        <v>11</v>
      </c>
      <c r="E39">
        <f t="shared" si="0"/>
        <v>0</v>
      </c>
      <c r="F39">
        <f t="shared" si="1"/>
        <v>1</v>
      </c>
      <c r="G39">
        <f t="shared" si="2"/>
        <v>0</v>
      </c>
      <c r="H39">
        <f t="shared" si="5"/>
        <v>0</v>
      </c>
      <c r="I39">
        <f t="shared" si="4"/>
        <v>0</v>
      </c>
      <c r="J39">
        <v>0</v>
      </c>
    </row>
    <row r="40" spans="1:10" x14ac:dyDescent="0.2">
      <c r="A40" t="s">
        <v>29</v>
      </c>
      <c r="B40">
        <v>2017</v>
      </c>
      <c r="C40">
        <v>84</v>
      </c>
      <c r="D40" t="s">
        <v>16</v>
      </c>
      <c r="E40">
        <f t="shared" si="0"/>
        <v>0</v>
      </c>
      <c r="F40">
        <f t="shared" si="1"/>
        <v>0</v>
      </c>
      <c r="G40">
        <f t="shared" si="2"/>
        <v>0</v>
      </c>
      <c r="H40">
        <f t="shared" si="5"/>
        <v>1</v>
      </c>
      <c r="I40">
        <f t="shared" si="4"/>
        <v>0</v>
      </c>
      <c r="J40">
        <v>0</v>
      </c>
    </row>
    <row r="41" spans="1:10" x14ac:dyDescent="0.2">
      <c r="A41" t="s">
        <v>31</v>
      </c>
      <c r="B41">
        <v>2017</v>
      </c>
      <c r="C41">
        <v>93</v>
      </c>
      <c r="D41" t="s">
        <v>16</v>
      </c>
      <c r="E41">
        <f t="shared" si="0"/>
        <v>0</v>
      </c>
      <c r="F41">
        <f t="shared" si="1"/>
        <v>0</v>
      </c>
      <c r="G41">
        <f t="shared" si="2"/>
        <v>0</v>
      </c>
      <c r="H41">
        <f t="shared" si="5"/>
        <v>1</v>
      </c>
      <c r="I41">
        <f t="shared" si="4"/>
        <v>0</v>
      </c>
      <c r="J41">
        <v>0</v>
      </c>
    </row>
    <row r="42" spans="1:10" x14ac:dyDescent="0.2">
      <c r="A42" t="s">
        <v>41</v>
      </c>
      <c r="B42">
        <v>2017</v>
      </c>
      <c r="C42">
        <v>120</v>
      </c>
      <c r="D42" t="s">
        <v>16</v>
      </c>
      <c r="E42">
        <f t="shared" si="0"/>
        <v>0</v>
      </c>
      <c r="F42">
        <f t="shared" si="1"/>
        <v>0</v>
      </c>
      <c r="G42">
        <f t="shared" si="2"/>
        <v>0</v>
      </c>
      <c r="H42">
        <f t="shared" si="5"/>
        <v>1</v>
      </c>
      <c r="I42">
        <f t="shared" si="4"/>
        <v>0</v>
      </c>
      <c r="J42">
        <v>0</v>
      </c>
    </row>
    <row r="43" spans="1:10" x14ac:dyDescent="0.2">
      <c r="A43" t="s">
        <v>43</v>
      </c>
      <c r="B43">
        <v>2017</v>
      </c>
      <c r="C43">
        <v>123</v>
      </c>
      <c r="D43" t="s">
        <v>11</v>
      </c>
      <c r="E43">
        <f t="shared" si="0"/>
        <v>0</v>
      </c>
      <c r="F43">
        <f t="shared" si="1"/>
        <v>1</v>
      </c>
      <c r="G43">
        <f t="shared" si="2"/>
        <v>0</v>
      </c>
      <c r="H43">
        <f t="shared" si="5"/>
        <v>0</v>
      </c>
      <c r="I43">
        <f t="shared" si="4"/>
        <v>0</v>
      </c>
      <c r="J43">
        <v>0</v>
      </c>
    </row>
    <row r="44" spans="1:10" x14ac:dyDescent="0.2">
      <c r="A44" t="s">
        <v>46</v>
      </c>
      <c r="B44">
        <v>2017</v>
      </c>
      <c r="C44">
        <v>125</v>
      </c>
      <c r="D44" t="s">
        <v>16</v>
      </c>
      <c r="E44">
        <f t="shared" si="0"/>
        <v>0</v>
      </c>
      <c r="F44">
        <f t="shared" si="1"/>
        <v>0</v>
      </c>
      <c r="G44">
        <f t="shared" si="2"/>
        <v>0</v>
      </c>
      <c r="H44">
        <f t="shared" si="5"/>
        <v>1</v>
      </c>
      <c r="I44">
        <f t="shared" si="4"/>
        <v>0</v>
      </c>
      <c r="J44">
        <v>0</v>
      </c>
    </row>
    <row r="45" spans="1:10" x14ac:dyDescent="0.2">
      <c r="A45" t="s">
        <v>49</v>
      </c>
      <c r="B45">
        <v>2017</v>
      </c>
      <c r="C45">
        <v>128</v>
      </c>
      <c r="D45" t="s">
        <v>16</v>
      </c>
      <c r="E45">
        <f t="shared" si="0"/>
        <v>0</v>
      </c>
      <c r="F45">
        <f t="shared" si="1"/>
        <v>0</v>
      </c>
      <c r="G45">
        <f t="shared" si="2"/>
        <v>0</v>
      </c>
      <c r="H45">
        <f t="shared" si="5"/>
        <v>1</v>
      </c>
      <c r="I45">
        <f t="shared" si="4"/>
        <v>0</v>
      </c>
      <c r="J45">
        <v>0</v>
      </c>
    </row>
    <row r="46" spans="1:10" x14ac:dyDescent="0.2">
      <c r="A46" t="s">
        <v>57</v>
      </c>
      <c r="B46">
        <v>2017</v>
      </c>
      <c r="C46">
        <v>144</v>
      </c>
      <c r="D46" t="s">
        <v>34</v>
      </c>
      <c r="E46">
        <f t="shared" si="0"/>
        <v>1</v>
      </c>
      <c r="F46">
        <f t="shared" si="1"/>
        <v>0</v>
      </c>
      <c r="G46">
        <f t="shared" si="2"/>
        <v>0</v>
      </c>
      <c r="H46">
        <f t="shared" si="5"/>
        <v>0</v>
      </c>
      <c r="I46">
        <f t="shared" si="4"/>
        <v>0</v>
      </c>
      <c r="J46">
        <v>0</v>
      </c>
    </row>
    <row r="47" spans="1:10" x14ac:dyDescent="0.2">
      <c r="A47" t="s">
        <v>58</v>
      </c>
      <c r="B47">
        <v>2017</v>
      </c>
      <c r="C47">
        <v>144</v>
      </c>
      <c r="D47" t="s">
        <v>16</v>
      </c>
      <c r="E47">
        <f t="shared" si="0"/>
        <v>0</v>
      </c>
      <c r="F47">
        <f t="shared" si="1"/>
        <v>0</v>
      </c>
      <c r="G47">
        <f t="shared" si="2"/>
        <v>0</v>
      </c>
      <c r="H47">
        <f t="shared" si="5"/>
        <v>1</v>
      </c>
      <c r="I47">
        <f t="shared" si="4"/>
        <v>0</v>
      </c>
      <c r="J47">
        <v>0</v>
      </c>
    </row>
    <row r="48" spans="1:10" x14ac:dyDescent="0.2">
      <c r="A48" t="s">
        <v>59</v>
      </c>
      <c r="B48">
        <v>2017</v>
      </c>
      <c r="C48">
        <v>151</v>
      </c>
      <c r="D48" t="s">
        <v>11</v>
      </c>
      <c r="E48">
        <f t="shared" si="0"/>
        <v>0</v>
      </c>
      <c r="F48">
        <f t="shared" si="1"/>
        <v>1</v>
      </c>
      <c r="G48">
        <f t="shared" si="2"/>
        <v>0</v>
      </c>
      <c r="H48">
        <f t="shared" si="5"/>
        <v>0</v>
      </c>
      <c r="I48">
        <f t="shared" si="4"/>
        <v>0</v>
      </c>
      <c r="J48">
        <v>0</v>
      </c>
    </row>
    <row r="49" spans="1:10" x14ac:dyDescent="0.2">
      <c r="A49" t="s">
        <v>68</v>
      </c>
      <c r="B49">
        <v>2017</v>
      </c>
      <c r="C49">
        <v>187</v>
      </c>
      <c r="D49" t="s">
        <v>16</v>
      </c>
      <c r="E49">
        <f t="shared" si="0"/>
        <v>0</v>
      </c>
      <c r="F49">
        <f t="shared" si="1"/>
        <v>0</v>
      </c>
      <c r="G49">
        <f t="shared" si="2"/>
        <v>0</v>
      </c>
      <c r="H49">
        <f t="shared" si="5"/>
        <v>1</v>
      </c>
      <c r="I49">
        <f t="shared" si="4"/>
        <v>0</v>
      </c>
      <c r="J49">
        <v>0</v>
      </c>
    </row>
    <row r="50" spans="1:10" x14ac:dyDescent="0.2">
      <c r="A50" t="s">
        <v>71</v>
      </c>
      <c r="B50">
        <v>2017</v>
      </c>
      <c r="C50">
        <v>201</v>
      </c>
      <c r="D50" t="s">
        <v>11</v>
      </c>
      <c r="E50">
        <f t="shared" si="0"/>
        <v>0</v>
      </c>
      <c r="F50">
        <f t="shared" si="1"/>
        <v>1</v>
      </c>
      <c r="G50">
        <f t="shared" si="2"/>
        <v>0</v>
      </c>
      <c r="H50">
        <f t="shared" si="5"/>
        <v>0</v>
      </c>
      <c r="I50">
        <f t="shared" si="4"/>
        <v>0</v>
      </c>
      <c r="J50">
        <v>0</v>
      </c>
    </row>
    <row r="51" spans="1:10" x14ac:dyDescent="0.2">
      <c r="A51" t="s">
        <v>77</v>
      </c>
      <c r="B51">
        <v>2017</v>
      </c>
      <c r="C51">
        <v>220</v>
      </c>
      <c r="D51" t="s">
        <v>11</v>
      </c>
      <c r="E51">
        <f t="shared" si="0"/>
        <v>0</v>
      </c>
      <c r="F51">
        <f t="shared" si="1"/>
        <v>1</v>
      </c>
      <c r="G51">
        <f t="shared" si="2"/>
        <v>0</v>
      </c>
      <c r="H51">
        <f t="shared" si="5"/>
        <v>0</v>
      </c>
      <c r="I51">
        <f t="shared" si="4"/>
        <v>0</v>
      </c>
      <c r="J51">
        <v>0</v>
      </c>
    </row>
    <row r="52" spans="1:10" x14ac:dyDescent="0.2">
      <c r="A52" t="s">
        <v>78</v>
      </c>
      <c r="B52">
        <v>2017</v>
      </c>
      <c r="C52">
        <v>221</v>
      </c>
      <c r="D52" t="s">
        <v>34</v>
      </c>
      <c r="E52">
        <f t="shared" si="0"/>
        <v>1</v>
      </c>
      <c r="F52">
        <f t="shared" si="1"/>
        <v>0</v>
      </c>
      <c r="G52">
        <f t="shared" si="2"/>
        <v>0</v>
      </c>
      <c r="H52">
        <f t="shared" si="5"/>
        <v>0</v>
      </c>
      <c r="I52">
        <f t="shared" si="4"/>
        <v>0</v>
      </c>
      <c r="J52">
        <v>0</v>
      </c>
    </row>
    <row r="53" spans="1:10" x14ac:dyDescent="0.2">
      <c r="A53" t="s">
        <v>84</v>
      </c>
      <c r="B53">
        <v>2017</v>
      </c>
      <c r="C53">
        <v>249</v>
      </c>
      <c r="D53" t="s">
        <v>16</v>
      </c>
      <c r="E53">
        <f t="shared" si="0"/>
        <v>0</v>
      </c>
      <c r="F53">
        <f t="shared" si="1"/>
        <v>0</v>
      </c>
      <c r="G53">
        <f t="shared" si="2"/>
        <v>0</v>
      </c>
      <c r="H53">
        <f t="shared" si="5"/>
        <v>1</v>
      </c>
      <c r="I53">
        <f t="shared" si="4"/>
        <v>0</v>
      </c>
      <c r="J53">
        <v>0</v>
      </c>
    </row>
    <row r="54" spans="1:10" x14ac:dyDescent="0.2">
      <c r="A54" t="s">
        <v>93</v>
      </c>
      <c r="B54">
        <v>2017</v>
      </c>
      <c r="C54">
        <v>280</v>
      </c>
      <c r="D54" t="s">
        <v>16</v>
      </c>
      <c r="E54">
        <f t="shared" si="0"/>
        <v>0</v>
      </c>
      <c r="F54">
        <f t="shared" si="1"/>
        <v>0</v>
      </c>
      <c r="G54">
        <f t="shared" si="2"/>
        <v>0</v>
      </c>
      <c r="H54">
        <f t="shared" si="5"/>
        <v>1</v>
      </c>
      <c r="I54">
        <f t="shared" si="4"/>
        <v>0</v>
      </c>
      <c r="J54">
        <v>0</v>
      </c>
    </row>
    <row r="55" spans="1:10" x14ac:dyDescent="0.2">
      <c r="A55" t="s">
        <v>95</v>
      </c>
      <c r="B55">
        <v>2017</v>
      </c>
      <c r="C55">
        <v>302</v>
      </c>
      <c r="D55" t="s">
        <v>11</v>
      </c>
      <c r="E55">
        <f t="shared" si="0"/>
        <v>0</v>
      </c>
      <c r="F55">
        <f t="shared" si="1"/>
        <v>1</v>
      </c>
      <c r="G55">
        <f t="shared" si="2"/>
        <v>0</v>
      </c>
      <c r="H55">
        <f t="shared" si="5"/>
        <v>0</v>
      </c>
      <c r="I55">
        <f t="shared" si="4"/>
        <v>0</v>
      </c>
      <c r="J55">
        <v>0</v>
      </c>
    </row>
    <row r="56" spans="1:10" x14ac:dyDescent="0.2">
      <c r="A56" t="s">
        <v>99</v>
      </c>
      <c r="B56">
        <v>2017</v>
      </c>
      <c r="C56">
        <v>315</v>
      </c>
      <c r="D56" t="s">
        <v>11</v>
      </c>
      <c r="E56">
        <f t="shared" si="0"/>
        <v>0</v>
      </c>
      <c r="F56">
        <f t="shared" si="1"/>
        <v>1</v>
      </c>
      <c r="G56">
        <f t="shared" si="2"/>
        <v>0</v>
      </c>
      <c r="H56">
        <f t="shared" si="5"/>
        <v>0</v>
      </c>
      <c r="I56">
        <f t="shared" si="4"/>
        <v>0</v>
      </c>
      <c r="J56">
        <v>0</v>
      </c>
    </row>
    <row r="57" spans="1:10" x14ac:dyDescent="0.2">
      <c r="A57" t="s">
        <v>103</v>
      </c>
      <c r="B57">
        <v>2017</v>
      </c>
      <c r="C57">
        <v>333</v>
      </c>
      <c r="D57" t="s">
        <v>11</v>
      </c>
      <c r="E57">
        <f t="shared" si="0"/>
        <v>0</v>
      </c>
      <c r="F57">
        <f t="shared" si="1"/>
        <v>1</v>
      </c>
      <c r="G57">
        <f t="shared" si="2"/>
        <v>0</v>
      </c>
      <c r="H57">
        <f t="shared" si="5"/>
        <v>0</v>
      </c>
      <c r="I57">
        <f t="shared" si="4"/>
        <v>0</v>
      </c>
      <c r="J57">
        <v>0</v>
      </c>
    </row>
    <row r="58" spans="1:10" x14ac:dyDescent="0.2">
      <c r="A58" t="s">
        <v>106</v>
      </c>
      <c r="B58">
        <v>2017</v>
      </c>
      <c r="C58">
        <v>349</v>
      </c>
      <c r="D58" t="s">
        <v>16</v>
      </c>
      <c r="E58">
        <f t="shared" si="0"/>
        <v>0</v>
      </c>
      <c r="F58">
        <f t="shared" si="1"/>
        <v>0</v>
      </c>
      <c r="G58">
        <f t="shared" si="2"/>
        <v>0</v>
      </c>
      <c r="H58">
        <v>0</v>
      </c>
      <c r="I58">
        <f t="shared" si="4"/>
        <v>0</v>
      </c>
      <c r="J58">
        <v>1</v>
      </c>
    </row>
    <row r="59" spans="1:10" x14ac:dyDescent="0.2">
      <c r="A59" t="s">
        <v>116</v>
      </c>
      <c r="B59">
        <v>2017</v>
      </c>
      <c r="C59">
        <v>367</v>
      </c>
      <c r="D59" t="s">
        <v>16</v>
      </c>
      <c r="E59">
        <f t="shared" si="0"/>
        <v>0</v>
      </c>
      <c r="F59">
        <f t="shared" si="1"/>
        <v>0</v>
      </c>
      <c r="G59">
        <f t="shared" si="2"/>
        <v>0</v>
      </c>
      <c r="H59">
        <f t="shared" ref="H59:H76" si="6">IF(ISNUMBER(FIND("Heterogeneous", D59)), 1, 0)</f>
        <v>1</v>
      </c>
      <c r="I59">
        <f t="shared" si="4"/>
        <v>0</v>
      </c>
      <c r="J59">
        <v>0</v>
      </c>
    </row>
    <row r="60" spans="1:10" x14ac:dyDescent="0.2">
      <c r="A60" t="s">
        <v>119</v>
      </c>
      <c r="B60">
        <v>2017</v>
      </c>
      <c r="C60">
        <v>387</v>
      </c>
      <c r="D60" t="s">
        <v>11</v>
      </c>
      <c r="E60">
        <f t="shared" si="0"/>
        <v>0</v>
      </c>
      <c r="F60">
        <f t="shared" si="1"/>
        <v>1</v>
      </c>
      <c r="G60">
        <f t="shared" si="2"/>
        <v>0</v>
      </c>
      <c r="H60">
        <f t="shared" si="6"/>
        <v>0</v>
      </c>
      <c r="I60">
        <f t="shared" si="4"/>
        <v>0</v>
      </c>
      <c r="J60">
        <v>0</v>
      </c>
    </row>
    <row r="61" spans="1:10" x14ac:dyDescent="0.2">
      <c r="A61" t="s">
        <v>126</v>
      </c>
      <c r="B61">
        <v>2017</v>
      </c>
      <c r="C61">
        <v>417</v>
      </c>
      <c r="D61" t="s">
        <v>11</v>
      </c>
      <c r="E61">
        <f t="shared" si="0"/>
        <v>0</v>
      </c>
      <c r="F61">
        <f t="shared" si="1"/>
        <v>1</v>
      </c>
      <c r="G61">
        <f t="shared" si="2"/>
        <v>0</v>
      </c>
      <c r="H61">
        <f t="shared" si="6"/>
        <v>0</v>
      </c>
      <c r="I61">
        <f t="shared" si="4"/>
        <v>0</v>
      </c>
      <c r="J61">
        <v>0</v>
      </c>
    </row>
    <row r="62" spans="1:10" x14ac:dyDescent="0.2">
      <c r="A62" t="s">
        <v>130</v>
      </c>
      <c r="B62">
        <v>2017</v>
      </c>
      <c r="C62">
        <v>437</v>
      </c>
      <c r="D62" t="s">
        <v>34</v>
      </c>
      <c r="E62">
        <f t="shared" si="0"/>
        <v>1</v>
      </c>
      <c r="F62">
        <f t="shared" si="1"/>
        <v>0</v>
      </c>
      <c r="G62">
        <f t="shared" si="2"/>
        <v>0</v>
      </c>
      <c r="H62">
        <f t="shared" si="6"/>
        <v>0</v>
      </c>
      <c r="I62">
        <f t="shared" si="4"/>
        <v>0</v>
      </c>
      <c r="J62">
        <v>0</v>
      </c>
    </row>
    <row r="63" spans="1:10" x14ac:dyDescent="0.2">
      <c r="A63" t="s">
        <v>131</v>
      </c>
      <c r="B63">
        <v>2017</v>
      </c>
      <c r="C63">
        <v>440</v>
      </c>
      <c r="D63" t="s">
        <v>11</v>
      </c>
      <c r="E63">
        <f t="shared" si="0"/>
        <v>0</v>
      </c>
      <c r="F63">
        <f t="shared" si="1"/>
        <v>1</v>
      </c>
      <c r="G63">
        <f t="shared" si="2"/>
        <v>0</v>
      </c>
      <c r="H63">
        <f t="shared" si="6"/>
        <v>0</v>
      </c>
      <c r="I63">
        <f t="shared" si="4"/>
        <v>0</v>
      </c>
      <c r="J63">
        <v>0</v>
      </c>
    </row>
    <row r="64" spans="1:10" x14ac:dyDescent="0.2">
      <c r="A64" t="s">
        <v>135</v>
      </c>
      <c r="B64">
        <v>2017</v>
      </c>
      <c r="C64">
        <v>444</v>
      </c>
      <c r="D64" t="s">
        <v>11</v>
      </c>
      <c r="E64">
        <f t="shared" si="0"/>
        <v>0</v>
      </c>
      <c r="F64">
        <f t="shared" si="1"/>
        <v>1</v>
      </c>
      <c r="G64">
        <f t="shared" si="2"/>
        <v>0</v>
      </c>
      <c r="H64">
        <f t="shared" si="6"/>
        <v>0</v>
      </c>
      <c r="I64">
        <f t="shared" si="4"/>
        <v>0</v>
      </c>
      <c r="J64">
        <v>0</v>
      </c>
    </row>
    <row r="65" spans="1:10" x14ac:dyDescent="0.2">
      <c r="A65" t="s">
        <v>136</v>
      </c>
      <c r="B65">
        <v>2017</v>
      </c>
      <c r="C65">
        <v>453</v>
      </c>
      <c r="D65" t="s">
        <v>16</v>
      </c>
      <c r="E65">
        <f t="shared" si="0"/>
        <v>0</v>
      </c>
      <c r="F65">
        <f t="shared" si="1"/>
        <v>0</v>
      </c>
      <c r="G65">
        <f t="shared" si="2"/>
        <v>0</v>
      </c>
      <c r="H65">
        <f t="shared" si="6"/>
        <v>1</v>
      </c>
      <c r="I65">
        <f t="shared" si="4"/>
        <v>0</v>
      </c>
      <c r="J65">
        <v>0</v>
      </c>
    </row>
    <row r="66" spans="1:10" x14ac:dyDescent="0.2">
      <c r="A66" t="s">
        <v>137</v>
      </c>
      <c r="B66">
        <v>2017</v>
      </c>
      <c r="C66">
        <v>453</v>
      </c>
      <c r="D66" t="s">
        <v>16</v>
      </c>
      <c r="E66">
        <f t="shared" ref="E66:E129" si="7">IF(OR(ISNUMBER(FIND("CrABS", D66)), ISNUMBER(FIND("CrULN", D66))), 1, 0)</f>
        <v>0</v>
      </c>
      <c r="F66">
        <f t="shared" ref="F66:F129" si="8">IF(ISNUMBER(FIND("CrCl", D66)), 1, 0)</f>
        <v>0</v>
      </c>
      <c r="G66">
        <f t="shared" ref="G66:G129" si="9">IF(ISNUMBER(FIND("eGFR", D66)), 1, 0)</f>
        <v>0</v>
      </c>
      <c r="H66">
        <f t="shared" si="6"/>
        <v>1</v>
      </c>
      <c r="I66">
        <f t="shared" ref="I66:I129" si="10">IF(ISNUMBER(FIND("n/a", D66)), 1, 0)</f>
        <v>0</v>
      </c>
      <c r="J66">
        <v>0</v>
      </c>
    </row>
    <row r="67" spans="1:10" x14ac:dyDescent="0.2">
      <c r="A67" t="s">
        <v>141</v>
      </c>
      <c r="B67">
        <v>2017</v>
      </c>
      <c r="C67">
        <v>460</v>
      </c>
      <c r="D67" t="s">
        <v>16</v>
      </c>
      <c r="E67">
        <f t="shared" si="7"/>
        <v>0</v>
      </c>
      <c r="F67">
        <f t="shared" si="8"/>
        <v>0</v>
      </c>
      <c r="G67">
        <f t="shared" si="9"/>
        <v>0</v>
      </c>
      <c r="H67">
        <f t="shared" si="6"/>
        <v>1</v>
      </c>
      <c r="I67">
        <f t="shared" si="10"/>
        <v>0</v>
      </c>
      <c r="J67">
        <v>0</v>
      </c>
    </row>
    <row r="68" spans="1:10" x14ac:dyDescent="0.2">
      <c r="A68" t="s">
        <v>142</v>
      </c>
      <c r="B68">
        <v>2017</v>
      </c>
      <c r="C68">
        <v>466</v>
      </c>
      <c r="D68" t="s">
        <v>11</v>
      </c>
      <c r="E68">
        <f t="shared" si="7"/>
        <v>0</v>
      </c>
      <c r="F68">
        <f t="shared" si="8"/>
        <v>1</v>
      </c>
      <c r="G68">
        <f t="shared" si="9"/>
        <v>0</v>
      </c>
      <c r="H68">
        <f t="shared" si="6"/>
        <v>0</v>
      </c>
      <c r="I68">
        <f t="shared" si="10"/>
        <v>0</v>
      </c>
      <c r="J68">
        <v>0</v>
      </c>
    </row>
    <row r="69" spans="1:10" x14ac:dyDescent="0.2">
      <c r="A69" t="s">
        <v>145</v>
      </c>
      <c r="B69">
        <v>2017</v>
      </c>
      <c r="C69">
        <v>483</v>
      </c>
      <c r="D69" t="s">
        <v>11</v>
      </c>
      <c r="E69">
        <f t="shared" si="7"/>
        <v>0</v>
      </c>
      <c r="F69">
        <f t="shared" si="8"/>
        <v>1</v>
      </c>
      <c r="G69">
        <f t="shared" si="9"/>
        <v>0</v>
      </c>
      <c r="H69">
        <f t="shared" si="6"/>
        <v>0</v>
      </c>
      <c r="I69">
        <f t="shared" si="10"/>
        <v>0</v>
      </c>
      <c r="J69">
        <v>0</v>
      </c>
    </row>
    <row r="70" spans="1:10" x14ac:dyDescent="0.2">
      <c r="A70" t="s">
        <v>147</v>
      </c>
      <c r="B70">
        <v>2017</v>
      </c>
      <c r="C70">
        <v>495</v>
      </c>
      <c r="D70" t="s">
        <v>16</v>
      </c>
      <c r="E70">
        <f t="shared" si="7"/>
        <v>0</v>
      </c>
      <c r="F70">
        <f t="shared" si="8"/>
        <v>0</v>
      </c>
      <c r="G70">
        <f t="shared" si="9"/>
        <v>0</v>
      </c>
      <c r="H70">
        <f t="shared" si="6"/>
        <v>1</v>
      </c>
      <c r="I70">
        <f t="shared" si="10"/>
        <v>0</v>
      </c>
      <c r="J70">
        <v>0</v>
      </c>
    </row>
    <row r="71" spans="1:10" x14ac:dyDescent="0.2">
      <c r="A71" t="s">
        <v>157</v>
      </c>
      <c r="B71">
        <v>2017</v>
      </c>
      <c r="C71">
        <v>529</v>
      </c>
      <c r="D71" t="s">
        <v>11</v>
      </c>
      <c r="E71">
        <f t="shared" si="7"/>
        <v>0</v>
      </c>
      <c r="F71">
        <f t="shared" si="8"/>
        <v>1</v>
      </c>
      <c r="G71">
        <f t="shared" si="9"/>
        <v>0</v>
      </c>
      <c r="H71">
        <f t="shared" si="6"/>
        <v>0</v>
      </c>
      <c r="I71">
        <f t="shared" si="10"/>
        <v>0</v>
      </c>
      <c r="J71">
        <v>0</v>
      </c>
    </row>
    <row r="72" spans="1:10" x14ac:dyDescent="0.2">
      <c r="A72" t="s">
        <v>168</v>
      </c>
      <c r="B72">
        <v>2017</v>
      </c>
      <c r="C72">
        <v>567</v>
      </c>
      <c r="D72" t="s">
        <v>26</v>
      </c>
      <c r="E72">
        <f t="shared" si="7"/>
        <v>0</v>
      </c>
      <c r="F72">
        <f t="shared" si="8"/>
        <v>0</v>
      </c>
      <c r="G72">
        <f t="shared" si="9"/>
        <v>1</v>
      </c>
      <c r="H72">
        <f t="shared" si="6"/>
        <v>0</v>
      </c>
      <c r="I72">
        <f t="shared" si="10"/>
        <v>0</v>
      </c>
      <c r="J72">
        <v>0</v>
      </c>
    </row>
    <row r="73" spans="1:10" x14ac:dyDescent="0.2">
      <c r="A73" t="s">
        <v>169</v>
      </c>
      <c r="B73">
        <v>2017</v>
      </c>
      <c r="C73">
        <v>568</v>
      </c>
      <c r="D73" t="s">
        <v>16</v>
      </c>
      <c r="E73">
        <f t="shared" si="7"/>
        <v>0</v>
      </c>
      <c r="F73">
        <f t="shared" si="8"/>
        <v>0</v>
      </c>
      <c r="G73">
        <f t="shared" si="9"/>
        <v>0</v>
      </c>
      <c r="H73">
        <f t="shared" si="6"/>
        <v>1</v>
      </c>
      <c r="I73">
        <f t="shared" si="10"/>
        <v>0</v>
      </c>
      <c r="J73">
        <v>0</v>
      </c>
    </row>
    <row r="74" spans="1:10" x14ac:dyDescent="0.2">
      <c r="A74" t="s">
        <v>178</v>
      </c>
      <c r="B74">
        <v>2017</v>
      </c>
      <c r="C74">
        <v>608</v>
      </c>
      <c r="D74" t="s">
        <v>16</v>
      </c>
      <c r="E74">
        <f t="shared" si="7"/>
        <v>0</v>
      </c>
      <c r="F74">
        <f t="shared" si="8"/>
        <v>0</v>
      </c>
      <c r="G74">
        <f t="shared" si="9"/>
        <v>0</v>
      </c>
      <c r="H74">
        <f t="shared" si="6"/>
        <v>1</v>
      </c>
      <c r="I74">
        <f t="shared" si="10"/>
        <v>0</v>
      </c>
      <c r="J74">
        <v>0</v>
      </c>
    </row>
    <row r="75" spans="1:10" x14ac:dyDescent="0.2">
      <c r="A75" t="s">
        <v>185</v>
      </c>
      <c r="B75">
        <v>2017</v>
      </c>
      <c r="C75">
        <v>642</v>
      </c>
      <c r="D75" t="s">
        <v>13</v>
      </c>
      <c r="E75">
        <f t="shared" si="7"/>
        <v>0</v>
      </c>
      <c r="F75">
        <f t="shared" si="8"/>
        <v>0</v>
      </c>
      <c r="G75">
        <f t="shared" si="9"/>
        <v>0</v>
      </c>
      <c r="H75">
        <f t="shared" si="6"/>
        <v>0</v>
      </c>
      <c r="I75">
        <f t="shared" si="10"/>
        <v>1</v>
      </c>
      <c r="J75">
        <v>0</v>
      </c>
    </row>
    <row r="76" spans="1:10" x14ac:dyDescent="0.2">
      <c r="A76" t="s">
        <v>187</v>
      </c>
      <c r="B76">
        <v>2017</v>
      </c>
      <c r="C76">
        <v>651</v>
      </c>
      <c r="D76" t="s">
        <v>11</v>
      </c>
      <c r="E76">
        <f t="shared" si="7"/>
        <v>0</v>
      </c>
      <c r="F76">
        <f t="shared" si="8"/>
        <v>1</v>
      </c>
      <c r="G76">
        <f t="shared" si="9"/>
        <v>0</v>
      </c>
      <c r="H76">
        <f t="shared" si="6"/>
        <v>0</v>
      </c>
      <c r="I76">
        <f t="shared" si="10"/>
        <v>0</v>
      </c>
      <c r="J76">
        <v>0</v>
      </c>
    </row>
    <row r="77" spans="1:10" x14ac:dyDescent="0.2">
      <c r="A77" t="s">
        <v>188</v>
      </c>
      <c r="B77">
        <v>2017</v>
      </c>
      <c r="C77">
        <v>651</v>
      </c>
      <c r="D77" t="s">
        <v>16</v>
      </c>
      <c r="E77">
        <f t="shared" si="7"/>
        <v>0</v>
      </c>
      <c r="F77">
        <f t="shared" si="8"/>
        <v>0</v>
      </c>
      <c r="G77">
        <f t="shared" si="9"/>
        <v>0</v>
      </c>
      <c r="H77">
        <v>0</v>
      </c>
      <c r="I77">
        <f t="shared" si="10"/>
        <v>0</v>
      </c>
      <c r="J77">
        <v>1</v>
      </c>
    </row>
    <row r="78" spans="1:10" x14ac:dyDescent="0.2">
      <c r="A78" t="s">
        <v>191</v>
      </c>
      <c r="B78">
        <v>2017</v>
      </c>
      <c r="C78">
        <v>671</v>
      </c>
      <c r="D78" t="s">
        <v>16</v>
      </c>
      <c r="E78">
        <f t="shared" si="7"/>
        <v>0</v>
      </c>
      <c r="F78">
        <f t="shared" si="8"/>
        <v>0</v>
      </c>
      <c r="G78">
        <f t="shared" si="9"/>
        <v>0</v>
      </c>
      <c r="H78">
        <f t="shared" ref="H78:H109" si="11">IF(ISNUMBER(FIND("Heterogeneous", D78)), 1, 0)</f>
        <v>1</v>
      </c>
      <c r="I78">
        <f t="shared" si="10"/>
        <v>0</v>
      </c>
      <c r="J78">
        <v>0</v>
      </c>
    </row>
    <row r="79" spans="1:10" x14ac:dyDescent="0.2">
      <c r="A79" t="s">
        <v>208</v>
      </c>
      <c r="B79">
        <v>2017</v>
      </c>
      <c r="C79">
        <v>749</v>
      </c>
      <c r="D79" t="s">
        <v>16</v>
      </c>
      <c r="E79">
        <f t="shared" si="7"/>
        <v>0</v>
      </c>
      <c r="F79">
        <f t="shared" si="8"/>
        <v>0</v>
      </c>
      <c r="G79">
        <f t="shared" si="9"/>
        <v>0</v>
      </c>
      <c r="H79">
        <f t="shared" si="11"/>
        <v>1</v>
      </c>
      <c r="I79">
        <f t="shared" si="10"/>
        <v>0</v>
      </c>
      <c r="J79">
        <v>0</v>
      </c>
    </row>
    <row r="80" spans="1:10" x14ac:dyDescent="0.2">
      <c r="A80" t="s">
        <v>212</v>
      </c>
      <c r="B80">
        <v>2017</v>
      </c>
      <c r="C80">
        <v>771</v>
      </c>
      <c r="D80" t="s">
        <v>11</v>
      </c>
      <c r="E80">
        <f t="shared" si="7"/>
        <v>0</v>
      </c>
      <c r="F80">
        <f t="shared" si="8"/>
        <v>1</v>
      </c>
      <c r="G80">
        <f t="shared" si="9"/>
        <v>0</v>
      </c>
      <c r="H80">
        <f t="shared" si="11"/>
        <v>0</v>
      </c>
      <c r="I80">
        <f t="shared" si="10"/>
        <v>0</v>
      </c>
      <c r="J80">
        <v>0</v>
      </c>
    </row>
    <row r="81" spans="1:10" x14ac:dyDescent="0.2">
      <c r="A81" t="s">
        <v>221</v>
      </c>
      <c r="B81">
        <v>2017</v>
      </c>
      <c r="C81">
        <v>867</v>
      </c>
      <c r="D81" t="s">
        <v>11</v>
      </c>
      <c r="E81">
        <f t="shared" si="7"/>
        <v>0</v>
      </c>
      <c r="F81">
        <f t="shared" si="8"/>
        <v>1</v>
      </c>
      <c r="G81">
        <f t="shared" si="9"/>
        <v>0</v>
      </c>
      <c r="H81">
        <f t="shared" si="11"/>
        <v>0</v>
      </c>
      <c r="I81">
        <f t="shared" si="10"/>
        <v>0</v>
      </c>
      <c r="J81">
        <v>0</v>
      </c>
    </row>
    <row r="82" spans="1:10" x14ac:dyDescent="0.2">
      <c r="A82" t="s">
        <v>226</v>
      </c>
      <c r="B82">
        <v>2017</v>
      </c>
      <c r="C82">
        <v>930</v>
      </c>
      <c r="D82" t="s">
        <v>22</v>
      </c>
      <c r="E82">
        <f t="shared" si="7"/>
        <v>1</v>
      </c>
      <c r="F82">
        <f t="shared" si="8"/>
        <v>0</v>
      </c>
      <c r="G82">
        <f t="shared" si="9"/>
        <v>0</v>
      </c>
      <c r="H82">
        <f t="shared" si="11"/>
        <v>0</v>
      </c>
      <c r="I82">
        <f t="shared" si="10"/>
        <v>0</v>
      </c>
      <c r="J82">
        <v>0</v>
      </c>
    </row>
    <row r="83" spans="1:10" x14ac:dyDescent="0.2">
      <c r="A83" t="s">
        <v>239</v>
      </c>
      <c r="B83">
        <v>2017</v>
      </c>
      <c r="C83">
        <v>1301</v>
      </c>
      <c r="D83" t="s">
        <v>11</v>
      </c>
      <c r="E83">
        <f t="shared" si="7"/>
        <v>0</v>
      </c>
      <c r="F83">
        <f t="shared" si="8"/>
        <v>1</v>
      </c>
      <c r="G83">
        <f t="shared" si="9"/>
        <v>0</v>
      </c>
      <c r="H83">
        <f t="shared" si="11"/>
        <v>0</v>
      </c>
      <c r="I83">
        <f t="shared" si="10"/>
        <v>0</v>
      </c>
      <c r="J83">
        <v>0</v>
      </c>
    </row>
    <row r="84" spans="1:10" x14ac:dyDescent="0.2">
      <c r="A84" t="s">
        <v>243</v>
      </c>
      <c r="B84">
        <v>2017</v>
      </c>
      <c r="C84">
        <v>1844</v>
      </c>
      <c r="D84" t="s">
        <v>16</v>
      </c>
      <c r="E84">
        <f t="shared" si="7"/>
        <v>0</v>
      </c>
      <c r="F84">
        <f t="shared" si="8"/>
        <v>0</v>
      </c>
      <c r="G84">
        <f t="shared" si="9"/>
        <v>0</v>
      </c>
      <c r="H84">
        <f t="shared" si="11"/>
        <v>1</v>
      </c>
      <c r="I84">
        <f t="shared" si="10"/>
        <v>0</v>
      </c>
      <c r="J84">
        <v>0</v>
      </c>
    </row>
    <row r="85" spans="1:10" x14ac:dyDescent="0.2">
      <c r="A85" t="s">
        <v>12</v>
      </c>
      <c r="B85">
        <v>2016</v>
      </c>
      <c r="C85">
        <v>11</v>
      </c>
      <c r="D85" t="s">
        <v>11</v>
      </c>
      <c r="E85">
        <f t="shared" si="7"/>
        <v>0</v>
      </c>
      <c r="F85">
        <f t="shared" si="8"/>
        <v>1</v>
      </c>
      <c r="G85">
        <f t="shared" si="9"/>
        <v>0</v>
      </c>
      <c r="H85">
        <f t="shared" si="11"/>
        <v>0</v>
      </c>
      <c r="I85">
        <f t="shared" si="10"/>
        <v>0</v>
      </c>
      <c r="J85">
        <v>0</v>
      </c>
    </row>
    <row r="86" spans="1:10" x14ac:dyDescent="0.2">
      <c r="A86" t="s">
        <v>19</v>
      </c>
      <c r="B86">
        <v>2016</v>
      </c>
      <c r="C86">
        <v>40</v>
      </c>
      <c r="D86" t="s">
        <v>16</v>
      </c>
      <c r="E86">
        <f t="shared" si="7"/>
        <v>0</v>
      </c>
      <c r="F86">
        <f t="shared" si="8"/>
        <v>0</v>
      </c>
      <c r="G86">
        <f t="shared" si="9"/>
        <v>0</v>
      </c>
      <c r="H86">
        <f t="shared" si="11"/>
        <v>1</v>
      </c>
      <c r="I86">
        <f t="shared" si="10"/>
        <v>0</v>
      </c>
      <c r="J86">
        <v>0</v>
      </c>
    </row>
    <row r="87" spans="1:10" x14ac:dyDescent="0.2">
      <c r="A87" t="s">
        <v>37</v>
      </c>
      <c r="B87">
        <v>2016</v>
      </c>
      <c r="C87">
        <v>106</v>
      </c>
      <c r="D87" t="s">
        <v>11</v>
      </c>
      <c r="E87">
        <f t="shared" si="7"/>
        <v>0</v>
      </c>
      <c r="F87">
        <f t="shared" si="8"/>
        <v>1</v>
      </c>
      <c r="G87">
        <f t="shared" si="9"/>
        <v>0</v>
      </c>
      <c r="H87">
        <f t="shared" si="11"/>
        <v>0</v>
      </c>
      <c r="I87">
        <f t="shared" si="10"/>
        <v>0</v>
      </c>
      <c r="J87">
        <v>0</v>
      </c>
    </row>
    <row r="88" spans="1:10" x14ac:dyDescent="0.2">
      <c r="A88" t="s">
        <v>44</v>
      </c>
      <c r="B88">
        <v>2016</v>
      </c>
      <c r="C88">
        <v>123</v>
      </c>
      <c r="D88" t="s">
        <v>16</v>
      </c>
      <c r="E88">
        <f t="shared" si="7"/>
        <v>0</v>
      </c>
      <c r="F88">
        <f t="shared" si="8"/>
        <v>0</v>
      </c>
      <c r="G88">
        <f t="shared" si="9"/>
        <v>0</v>
      </c>
      <c r="H88">
        <f t="shared" si="11"/>
        <v>1</v>
      </c>
      <c r="I88">
        <f t="shared" si="10"/>
        <v>0</v>
      </c>
      <c r="J88">
        <v>0</v>
      </c>
    </row>
    <row r="89" spans="1:10" x14ac:dyDescent="0.2">
      <c r="A89" t="s">
        <v>45</v>
      </c>
      <c r="B89">
        <v>2016</v>
      </c>
      <c r="C89">
        <v>123</v>
      </c>
      <c r="D89" t="s">
        <v>16</v>
      </c>
      <c r="E89">
        <f t="shared" si="7"/>
        <v>0</v>
      </c>
      <c r="F89">
        <f t="shared" si="8"/>
        <v>0</v>
      </c>
      <c r="G89">
        <f t="shared" si="9"/>
        <v>0</v>
      </c>
      <c r="H89">
        <f t="shared" si="11"/>
        <v>1</v>
      </c>
      <c r="I89">
        <f t="shared" si="10"/>
        <v>0</v>
      </c>
      <c r="J89">
        <v>0</v>
      </c>
    </row>
    <row r="90" spans="1:10" x14ac:dyDescent="0.2">
      <c r="A90" t="s">
        <v>48</v>
      </c>
      <c r="B90">
        <v>2016</v>
      </c>
      <c r="C90">
        <v>126</v>
      </c>
      <c r="D90" t="s">
        <v>34</v>
      </c>
      <c r="E90">
        <f t="shared" si="7"/>
        <v>1</v>
      </c>
      <c r="F90">
        <f t="shared" si="8"/>
        <v>0</v>
      </c>
      <c r="G90">
        <f t="shared" si="9"/>
        <v>0</v>
      </c>
      <c r="H90">
        <f t="shared" si="11"/>
        <v>0</v>
      </c>
      <c r="I90">
        <f t="shared" si="10"/>
        <v>0</v>
      </c>
      <c r="J90">
        <v>0</v>
      </c>
    </row>
    <row r="91" spans="1:10" x14ac:dyDescent="0.2">
      <c r="A91" t="s">
        <v>52</v>
      </c>
      <c r="B91">
        <v>2016</v>
      </c>
      <c r="C91">
        <v>130</v>
      </c>
      <c r="D91" t="s">
        <v>16</v>
      </c>
      <c r="E91">
        <f t="shared" si="7"/>
        <v>0</v>
      </c>
      <c r="F91">
        <f t="shared" si="8"/>
        <v>0</v>
      </c>
      <c r="G91">
        <f t="shared" si="9"/>
        <v>0</v>
      </c>
      <c r="H91">
        <f t="shared" si="11"/>
        <v>1</v>
      </c>
      <c r="I91">
        <f t="shared" si="10"/>
        <v>0</v>
      </c>
      <c r="J91">
        <v>0</v>
      </c>
    </row>
    <row r="92" spans="1:10" x14ac:dyDescent="0.2">
      <c r="A92" t="s">
        <v>63</v>
      </c>
      <c r="B92">
        <v>2016</v>
      </c>
      <c r="C92">
        <v>157</v>
      </c>
      <c r="D92" t="s">
        <v>13</v>
      </c>
      <c r="E92">
        <f t="shared" si="7"/>
        <v>0</v>
      </c>
      <c r="F92">
        <f t="shared" si="8"/>
        <v>0</v>
      </c>
      <c r="G92">
        <f t="shared" si="9"/>
        <v>0</v>
      </c>
      <c r="H92">
        <f t="shared" si="11"/>
        <v>0</v>
      </c>
      <c r="I92">
        <f t="shared" si="10"/>
        <v>1</v>
      </c>
      <c r="J92">
        <v>0</v>
      </c>
    </row>
    <row r="93" spans="1:10" x14ac:dyDescent="0.2">
      <c r="A93" t="s">
        <v>64</v>
      </c>
      <c r="B93">
        <v>2016</v>
      </c>
      <c r="C93">
        <v>170</v>
      </c>
      <c r="D93" t="s">
        <v>11</v>
      </c>
      <c r="E93">
        <f t="shared" si="7"/>
        <v>0</v>
      </c>
      <c r="F93">
        <f t="shared" si="8"/>
        <v>1</v>
      </c>
      <c r="G93">
        <f t="shared" si="9"/>
        <v>0</v>
      </c>
      <c r="H93">
        <f t="shared" si="11"/>
        <v>0</v>
      </c>
      <c r="I93">
        <f t="shared" si="10"/>
        <v>0</v>
      </c>
      <c r="J93">
        <v>0</v>
      </c>
    </row>
    <row r="94" spans="1:10" x14ac:dyDescent="0.2">
      <c r="A94" t="s">
        <v>75</v>
      </c>
      <c r="B94">
        <v>2016</v>
      </c>
      <c r="C94">
        <v>210</v>
      </c>
      <c r="D94" t="s">
        <v>16</v>
      </c>
      <c r="E94">
        <f t="shared" si="7"/>
        <v>0</v>
      </c>
      <c r="F94">
        <f t="shared" si="8"/>
        <v>0</v>
      </c>
      <c r="G94">
        <f t="shared" si="9"/>
        <v>0</v>
      </c>
      <c r="H94">
        <f t="shared" si="11"/>
        <v>1</v>
      </c>
      <c r="I94">
        <f t="shared" si="10"/>
        <v>0</v>
      </c>
      <c r="J94">
        <v>0</v>
      </c>
    </row>
    <row r="95" spans="1:10" x14ac:dyDescent="0.2">
      <c r="A95" t="s">
        <v>80</v>
      </c>
      <c r="B95">
        <v>2016</v>
      </c>
      <c r="C95">
        <v>233</v>
      </c>
      <c r="D95" t="s">
        <v>16</v>
      </c>
      <c r="E95">
        <f t="shared" si="7"/>
        <v>0</v>
      </c>
      <c r="F95">
        <f t="shared" si="8"/>
        <v>0</v>
      </c>
      <c r="G95">
        <f t="shared" si="9"/>
        <v>0</v>
      </c>
      <c r="H95">
        <f t="shared" si="11"/>
        <v>1</v>
      </c>
      <c r="I95">
        <f t="shared" si="10"/>
        <v>0</v>
      </c>
      <c r="J95">
        <v>0</v>
      </c>
    </row>
    <row r="96" spans="1:10" x14ac:dyDescent="0.2">
      <c r="A96" t="s">
        <v>83</v>
      </c>
      <c r="B96">
        <v>2016</v>
      </c>
      <c r="C96">
        <v>243</v>
      </c>
      <c r="D96" t="s">
        <v>22</v>
      </c>
      <c r="E96">
        <f t="shared" si="7"/>
        <v>1</v>
      </c>
      <c r="F96">
        <f t="shared" si="8"/>
        <v>0</v>
      </c>
      <c r="G96">
        <f t="shared" si="9"/>
        <v>0</v>
      </c>
      <c r="H96">
        <f t="shared" si="11"/>
        <v>0</v>
      </c>
      <c r="I96">
        <f t="shared" si="10"/>
        <v>0</v>
      </c>
      <c r="J96">
        <v>0</v>
      </c>
    </row>
    <row r="97" spans="1:10" x14ac:dyDescent="0.2">
      <c r="A97" t="s">
        <v>86</v>
      </c>
      <c r="B97">
        <v>2016</v>
      </c>
      <c r="C97">
        <v>256</v>
      </c>
      <c r="D97" t="s">
        <v>16</v>
      </c>
      <c r="E97">
        <f t="shared" si="7"/>
        <v>0</v>
      </c>
      <c r="F97">
        <f t="shared" si="8"/>
        <v>0</v>
      </c>
      <c r="G97">
        <f t="shared" si="9"/>
        <v>0</v>
      </c>
      <c r="H97">
        <f t="shared" si="11"/>
        <v>1</v>
      </c>
      <c r="I97">
        <f t="shared" si="10"/>
        <v>0</v>
      </c>
      <c r="J97">
        <v>0</v>
      </c>
    </row>
    <row r="98" spans="1:10" x14ac:dyDescent="0.2">
      <c r="A98" t="s">
        <v>87</v>
      </c>
      <c r="B98">
        <v>2016</v>
      </c>
      <c r="C98">
        <v>258</v>
      </c>
      <c r="D98" t="s">
        <v>11</v>
      </c>
      <c r="E98">
        <f t="shared" si="7"/>
        <v>0</v>
      </c>
      <c r="F98">
        <f t="shared" si="8"/>
        <v>1</v>
      </c>
      <c r="G98">
        <f t="shared" si="9"/>
        <v>0</v>
      </c>
      <c r="H98">
        <f t="shared" si="11"/>
        <v>0</v>
      </c>
      <c r="I98">
        <f t="shared" si="10"/>
        <v>0</v>
      </c>
      <c r="J98">
        <v>0</v>
      </c>
    </row>
    <row r="99" spans="1:10" x14ac:dyDescent="0.2">
      <c r="A99" t="s">
        <v>89</v>
      </c>
      <c r="B99">
        <v>2016</v>
      </c>
      <c r="C99">
        <v>262</v>
      </c>
      <c r="D99" t="s">
        <v>16</v>
      </c>
      <c r="E99">
        <f t="shared" si="7"/>
        <v>0</v>
      </c>
      <c r="F99">
        <f t="shared" si="8"/>
        <v>0</v>
      </c>
      <c r="G99">
        <f t="shared" si="9"/>
        <v>0</v>
      </c>
      <c r="H99">
        <f t="shared" si="11"/>
        <v>1</v>
      </c>
      <c r="I99">
        <f t="shared" si="10"/>
        <v>0</v>
      </c>
      <c r="J99">
        <v>0</v>
      </c>
    </row>
    <row r="100" spans="1:10" x14ac:dyDescent="0.2">
      <c r="A100" t="s">
        <v>91</v>
      </c>
      <c r="B100">
        <v>2016</v>
      </c>
      <c r="C100">
        <v>275</v>
      </c>
      <c r="D100" t="s">
        <v>34</v>
      </c>
      <c r="E100">
        <f t="shared" si="7"/>
        <v>1</v>
      </c>
      <c r="F100">
        <f t="shared" si="8"/>
        <v>0</v>
      </c>
      <c r="G100">
        <f t="shared" si="9"/>
        <v>0</v>
      </c>
      <c r="H100">
        <f t="shared" si="11"/>
        <v>0</v>
      </c>
      <c r="I100">
        <f t="shared" si="10"/>
        <v>0</v>
      </c>
      <c r="J100">
        <v>0</v>
      </c>
    </row>
    <row r="101" spans="1:10" x14ac:dyDescent="0.2">
      <c r="A101" t="s">
        <v>94</v>
      </c>
      <c r="B101">
        <v>2016</v>
      </c>
      <c r="C101">
        <v>291</v>
      </c>
      <c r="D101" t="s">
        <v>11</v>
      </c>
      <c r="E101">
        <f t="shared" si="7"/>
        <v>0</v>
      </c>
      <c r="F101">
        <f t="shared" si="8"/>
        <v>1</v>
      </c>
      <c r="G101">
        <f t="shared" si="9"/>
        <v>0</v>
      </c>
      <c r="H101">
        <f t="shared" si="11"/>
        <v>0</v>
      </c>
      <c r="I101">
        <f t="shared" si="10"/>
        <v>0</v>
      </c>
      <c r="J101">
        <v>0</v>
      </c>
    </row>
    <row r="102" spans="1:10" x14ac:dyDescent="0.2">
      <c r="A102" t="s">
        <v>105</v>
      </c>
      <c r="B102">
        <v>2016</v>
      </c>
      <c r="C102">
        <v>342</v>
      </c>
      <c r="D102" t="s">
        <v>16</v>
      </c>
      <c r="E102">
        <f t="shared" si="7"/>
        <v>0</v>
      </c>
      <c r="F102">
        <f t="shared" si="8"/>
        <v>0</v>
      </c>
      <c r="G102">
        <f t="shared" si="9"/>
        <v>0</v>
      </c>
      <c r="H102">
        <f t="shared" si="11"/>
        <v>1</v>
      </c>
      <c r="I102">
        <f t="shared" si="10"/>
        <v>0</v>
      </c>
      <c r="J102">
        <v>0</v>
      </c>
    </row>
    <row r="103" spans="1:10" x14ac:dyDescent="0.2">
      <c r="A103" t="s">
        <v>107</v>
      </c>
      <c r="B103">
        <v>2016</v>
      </c>
      <c r="C103">
        <v>350</v>
      </c>
      <c r="D103" t="s">
        <v>16</v>
      </c>
      <c r="E103">
        <f t="shared" si="7"/>
        <v>0</v>
      </c>
      <c r="F103">
        <f t="shared" si="8"/>
        <v>0</v>
      </c>
      <c r="G103">
        <f t="shared" si="9"/>
        <v>0</v>
      </c>
      <c r="H103">
        <f t="shared" si="11"/>
        <v>1</v>
      </c>
      <c r="I103">
        <f t="shared" si="10"/>
        <v>0</v>
      </c>
      <c r="J103">
        <v>0</v>
      </c>
    </row>
    <row r="104" spans="1:10" x14ac:dyDescent="0.2">
      <c r="A104" t="s">
        <v>112</v>
      </c>
      <c r="B104">
        <v>2016</v>
      </c>
      <c r="C104">
        <v>363</v>
      </c>
      <c r="D104" t="s">
        <v>11</v>
      </c>
      <c r="E104">
        <f t="shared" si="7"/>
        <v>0</v>
      </c>
      <c r="F104">
        <f t="shared" si="8"/>
        <v>1</v>
      </c>
      <c r="G104">
        <f t="shared" si="9"/>
        <v>0</v>
      </c>
      <c r="H104">
        <f t="shared" si="11"/>
        <v>0</v>
      </c>
      <c r="I104">
        <f t="shared" si="10"/>
        <v>0</v>
      </c>
      <c r="J104">
        <v>0</v>
      </c>
    </row>
    <row r="105" spans="1:10" x14ac:dyDescent="0.2">
      <c r="A105" t="s">
        <v>113</v>
      </c>
      <c r="B105">
        <v>2016</v>
      </c>
      <c r="C105">
        <v>363</v>
      </c>
      <c r="D105" t="s">
        <v>16</v>
      </c>
      <c r="E105">
        <f t="shared" si="7"/>
        <v>0</v>
      </c>
      <c r="F105">
        <f t="shared" si="8"/>
        <v>0</v>
      </c>
      <c r="G105">
        <f t="shared" si="9"/>
        <v>0</v>
      </c>
      <c r="H105">
        <f t="shared" si="11"/>
        <v>1</v>
      </c>
      <c r="I105">
        <f t="shared" si="10"/>
        <v>0</v>
      </c>
      <c r="J105">
        <v>0</v>
      </c>
    </row>
    <row r="106" spans="1:10" x14ac:dyDescent="0.2">
      <c r="A106" t="s">
        <v>114</v>
      </c>
      <c r="B106">
        <v>2016</v>
      </c>
      <c r="C106">
        <v>366</v>
      </c>
      <c r="D106" t="s">
        <v>16</v>
      </c>
      <c r="E106">
        <f t="shared" si="7"/>
        <v>0</v>
      </c>
      <c r="F106">
        <f t="shared" si="8"/>
        <v>0</v>
      </c>
      <c r="G106">
        <f t="shared" si="9"/>
        <v>0</v>
      </c>
      <c r="H106">
        <f t="shared" si="11"/>
        <v>1</v>
      </c>
      <c r="I106">
        <f t="shared" si="10"/>
        <v>0</v>
      </c>
      <c r="J106">
        <v>0</v>
      </c>
    </row>
    <row r="107" spans="1:10" x14ac:dyDescent="0.2">
      <c r="A107" t="s">
        <v>118</v>
      </c>
      <c r="B107">
        <v>2016</v>
      </c>
      <c r="C107">
        <v>387</v>
      </c>
      <c r="D107" t="s">
        <v>16</v>
      </c>
      <c r="E107">
        <f t="shared" si="7"/>
        <v>0</v>
      </c>
      <c r="F107">
        <f t="shared" si="8"/>
        <v>0</v>
      </c>
      <c r="G107">
        <f t="shared" si="9"/>
        <v>0</v>
      </c>
      <c r="H107">
        <f t="shared" si="11"/>
        <v>1</v>
      </c>
      <c r="I107">
        <f t="shared" si="10"/>
        <v>0</v>
      </c>
      <c r="J107">
        <v>0</v>
      </c>
    </row>
    <row r="108" spans="1:10" x14ac:dyDescent="0.2">
      <c r="A108" t="s">
        <v>125</v>
      </c>
      <c r="B108">
        <v>2016</v>
      </c>
      <c r="C108">
        <v>413</v>
      </c>
      <c r="D108" t="s">
        <v>22</v>
      </c>
      <c r="E108">
        <f t="shared" si="7"/>
        <v>1</v>
      </c>
      <c r="F108">
        <f t="shared" si="8"/>
        <v>0</v>
      </c>
      <c r="G108">
        <f t="shared" si="9"/>
        <v>0</v>
      </c>
      <c r="H108">
        <f t="shared" si="11"/>
        <v>0</v>
      </c>
      <c r="I108">
        <f t="shared" si="10"/>
        <v>0</v>
      </c>
      <c r="J108">
        <v>0</v>
      </c>
    </row>
    <row r="109" spans="1:10" x14ac:dyDescent="0.2">
      <c r="A109" t="s">
        <v>128</v>
      </c>
      <c r="B109">
        <v>2016</v>
      </c>
      <c r="C109">
        <v>425</v>
      </c>
      <c r="D109" t="s">
        <v>11</v>
      </c>
      <c r="E109">
        <f t="shared" si="7"/>
        <v>0</v>
      </c>
      <c r="F109">
        <f t="shared" si="8"/>
        <v>1</v>
      </c>
      <c r="G109">
        <f t="shared" si="9"/>
        <v>0</v>
      </c>
      <c r="H109">
        <f t="shared" si="11"/>
        <v>0</v>
      </c>
      <c r="I109">
        <f t="shared" si="10"/>
        <v>0</v>
      </c>
      <c r="J109">
        <v>0</v>
      </c>
    </row>
    <row r="110" spans="1:10" x14ac:dyDescent="0.2">
      <c r="A110" t="s">
        <v>132</v>
      </c>
      <c r="B110">
        <v>2016</v>
      </c>
      <c r="C110">
        <v>441</v>
      </c>
      <c r="D110" t="s">
        <v>11</v>
      </c>
      <c r="E110">
        <f t="shared" si="7"/>
        <v>0</v>
      </c>
      <c r="F110">
        <f t="shared" si="8"/>
        <v>1</v>
      </c>
      <c r="G110">
        <f t="shared" si="9"/>
        <v>0</v>
      </c>
      <c r="H110">
        <f t="shared" ref="H110:H141" si="12">IF(ISNUMBER(FIND("Heterogeneous", D110)), 1, 0)</f>
        <v>0</v>
      </c>
      <c r="I110">
        <f t="shared" si="10"/>
        <v>0</v>
      </c>
      <c r="J110">
        <v>0</v>
      </c>
    </row>
    <row r="111" spans="1:10" x14ac:dyDescent="0.2">
      <c r="A111" t="s">
        <v>152</v>
      </c>
      <c r="B111">
        <v>2016</v>
      </c>
      <c r="C111">
        <v>502</v>
      </c>
      <c r="D111" t="s">
        <v>16</v>
      </c>
      <c r="E111">
        <f t="shared" si="7"/>
        <v>0</v>
      </c>
      <c r="F111">
        <f t="shared" si="8"/>
        <v>0</v>
      </c>
      <c r="G111">
        <f t="shared" si="9"/>
        <v>0</v>
      </c>
      <c r="H111">
        <f t="shared" si="12"/>
        <v>1</v>
      </c>
      <c r="I111">
        <f t="shared" si="10"/>
        <v>0</v>
      </c>
      <c r="J111">
        <v>0</v>
      </c>
    </row>
    <row r="112" spans="1:10" x14ac:dyDescent="0.2">
      <c r="A112" t="s">
        <v>155</v>
      </c>
      <c r="B112">
        <v>2016</v>
      </c>
      <c r="C112">
        <v>513</v>
      </c>
      <c r="D112" t="s">
        <v>34</v>
      </c>
      <c r="E112">
        <f t="shared" si="7"/>
        <v>1</v>
      </c>
      <c r="F112">
        <f t="shared" si="8"/>
        <v>0</v>
      </c>
      <c r="G112">
        <f t="shared" si="9"/>
        <v>0</v>
      </c>
      <c r="H112">
        <f t="shared" si="12"/>
        <v>0</v>
      </c>
      <c r="I112">
        <f t="shared" si="10"/>
        <v>0</v>
      </c>
      <c r="J112">
        <v>0</v>
      </c>
    </row>
    <row r="113" spans="1:10" x14ac:dyDescent="0.2">
      <c r="A113" t="s">
        <v>163</v>
      </c>
      <c r="B113">
        <v>2016</v>
      </c>
      <c r="C113">
        <v>559</v>
      </c>
      <c r="D113" t="s">
        <v>16</v>
      </c>
      <c r="E113">
        <f t="shared" si="7"/>
        <v>0</v>
      </c>
      <c r="F113">
        <f t="shared" si="8"/>
        <v>0</v>
      </c>
      <c r="G113">
        <f t="shared" si="9"/>
        <v>0</v>
      </c>
      <c r="H113">
        <f t="shared" si="12"/>
        <v>1</v>
      </c>
      <c r="I113">
        <f t="shared" si="10"/>
        <v>0</v>
      </c>
      <c r="J113">
        <v>0</v>
      </c>
    </row>
    <row r="114" spans="1:10" x14ac:dyDescent="0.2">
      <c r="A114" t="s">
        <v>164</v>
      </c>
      <c r="B114">
        <v>2016</v>
      </c>
      <c r="C114">
        <v>560</v>
      </c>
      <c r="D114" t="s">
        <v>16</v>
      </c>
      <c r="E114">
        <f t="shared" si="7"/>
        <v>0</v>
      </c>
      <c r="F114">
        <f t="shared" si="8"/>
        <v>0</v>
      </c>
      <c r="G114">
        <f t="shared" si="9"/>
        <v>0</v>
      </c>
      <c r="H114">
        <f t="shared" si="12"/>
        <v>1</v>
      </c>
      <c r="I114">
        <f t="shared" si="10"/>
        <v>0</v>
      </c>
      <c r="J114">
        <v>0</v>
      </c>
    </row>
    <row r="115" spans="1:10" x14ac:dyDescent="0.2">
      <c r="A115" t="s">
        <v>168</v>
      </c>
      <c r="B115">
        <v>2016</v>
      </c>
      <c r="C115">
        <v>567</v>
      </c>
      <c r="D115" t="s">
        <v>26</v>
      </c>
      <c r="E115">
        <f t="shared" si="7"/>
        <v>0</v>
      </c>
      <c r="F115">
        <f t="shared" si="8"/>
        <v>0</v>
      </c>
      <c r="G115">
        <f t="shared" si="9"/>
        <v>1</v>
      </c>
      <c r="H115">
        <f t="shared" si="12"/>
        <v>0</v>
      </c>
      <c r="I115">
        <f t="shared" si="10"/>
        <v>0</v>
      </c>
      <c r="J115">
        <v>0</v>
      </c>
    </row>
    <row r="116" spans="1:10" x14ac:dyDescent="0.2">
      <c r="A116" t="s">
        <v>173</v>
      </c>
      <c r="B116">
        <v>2016</v>
      </c>
      <c r="C116">
        <v>578</v>
      </c>
      <c r="D116" t="s">
        <v>11</v>
      </c>
      <c r="E116">
        <f t="shared" si="7"/>
        <v>0</v>
      </c>
      <c r="F116">
        <f t="shared" si="8"/>
        <v>1</v>
      </c>
      <c r="G116">
        <f t="shared" si="9"/>
        <v>0</v>
      </c>
      <c r="H116">
        <f t="shared" si="12"/>
        <v>0</v>
      </c>
      <c r="I116">
        <f t="shared" si="10"/>
        <v>0</v>
      </c>
      <c r="J116">
        <v>0</v>
      </c>
    </row>
    <row r="117" spans="1:10" x14ac:dyDescent="0.2">
      <c r="A117" t="s">
        <v>177</v>
      </c>
      <c r="B117">
        <v>2016</v>
      </c>
      <c r="C117">
        <v>605</v>
      </c>
      <c r="D117" t="s">
        <v>16</v>
      </c>
      <c r="E117">
        <f t="shared" si="7"/>
        <v>0</v>
      </c>
      <c r="F117">
        <f t="shared" si="8"/>
        <v>0</v>
      </c>
      <c r="G117">
        <f t="shared" si="9"/>
        <v>0</v>
      </c>
      <c r="H117">
        <f t="shared" si="12"/>
        <v>1</v>
      </c>
      <c r="I117">
        <f t="shared" si="10"/>
        <v>0</v>
      </c>
      <c r="J117">
        <v>0</v>
      </c>
    </row>
    <row r="118" spans="1:10" x14ac:dyDescent="0.2">
      <c r="A118" t="s">
        <v>179</v>
      </c>
      <c r="B118">
        <v>2016</v>
      </c>
      <c r="C118">
        <v>613</v>
      </c>
      <c r="D118" t="s">
        <v>11</v>
      </c>
      <c r="E118">
        <f t="shared" si="7"/>
        <v>0</v>
      </c>
      <c r="F118">
        <f t="shared" si="8"/>
        <v>1</v>
      </c>
      <c r="G118">
        <f t="shared" si="9"/>
        <v>0</v>
      </c>
      <c r="H118">
        <f t="shared" si="12"/>
        <v>0</v>
      </c>
      <c r="I118">
        <f t="shared" si="10"/>
        <v>0</v>
      </c>
      <c r="J118">
        <v>0</v>
      </c>
    </row>
    <row r="119" spans="1:10" x14ac:dyDescent="0.2">
      <c r="A119" t="s">
        <v>180</v>
      </c>
      <c r="B119">
        <v>2016</v>
      </c>
      <c r="C119">
        <v>616</v>
      </c>
      <c r="D119" t="s">
        <v>16</v>
      </c>
      <c r="E119">
        <f t="shared" si="7"/>
        <v>0</v>
      </c>
      <c r="F119">
        <f t="shared" si="8"/>
        <v>0</v>
      </c>
      <c r="G119">
        <f t="shared" si="9"/>
        <v>0</v>
      </c>
      <c r="H119">
        <f t="shared" si="12"/>
        <v>1</v>
      </c>
      <c r="I119">
        <f t="shared" si="10"/>
        <v>0</v>
      </c>
      <c r="J119">
        <v>0</v>
      </c>
    </row>
    <row r="120" spans="1:10" x14ac:dyDescent="0.2">
      <c r="A120" t="s">
        <v>196</v>
      </c>
      <c r="B120">
        <v>2016</v>
      </c>
      <c r="C120">
        <v>700</v>
      </c>
      <c r="D120" t="s">
        <v>11</v>
      </c>
      <c r="E120">
        <f t="shared" si="7"/>
        <v>0</v>
      </c>
      <c r="F120">
        <f t="shared" si="8"/>
        <v>1</v>
      </c>
      <c r="G120">
        <f t="shared" si="9"/>
        <v>0</v>
      </c>
      <c r="H120">
        <f t="shared" si="12"/>
        <v>0</v>
      </c>
      <c r="I120">
        <f t="shared" si="10"/>
        <v>0</v>
      </c>
      <c r="J120">
        <v>0</v>
      </c>
    </row>
    <row r="121" spans="1:10" x14ac:dyDescent="0.2">
      <c r="A121" t="s">
        <v>197</v>
      </c>
      <c r="B121">
        <v>2016</v>
      </c>
      <c r="C121">
        <v>702</v>
      </c>
      <c r="D121" t="s">
        <v>16</v>
      </c>
      <c r="E121">
        <f t="shared" si="7"/>
        <v>0</v>
      </c>
      <c r="F121">
        <f t="shared" si="8"/>
        <v>0</v>
      </c>
      <c r="G121">
        <f t="shared" si="9"/>
        <v>0</v>
      </c>
      <c r="H121">
        <f t="shared" si="12"/>
        <v>1</v>
      </c>
      <c r="I121">
        <f t="shared" si="10"/>
        <v>0</v>
      </c>
      <c r="J121">
        <v>0</v>
      </c>
    </row>
    <row r="122" spans="1:10" x14ac:dyDescent="0.2">
      <c r="A122" t="s">
        <v>200</v>
      </c>
      <c r="B122">
        <v>2016</v>
      </c>
      <c r="C122">
        <v>706</v>
      </c>
      <c r="D122" t="s">
        <v>16</v>
      </c>
      <c r="E122">
        <f t="shared" si="7"/>
        <v>0</v>
      </c>
      <c r="F122">
        <f t="shared" si="8"/>
        <v>0</v>
      </c>
      <c r="G122">
        <f t="shared" si="9"/>
        <v>0</v>
      </c>
      <c r="H122">
        <f t="shared" si="12"/>
        <v>1</v>
      </c>
      <c r="I122">
        <f t="shared" si="10"/>
        <v>0</v>
      </c>
      <c r="J122">
        <v>0</v>
      </c>
    </row>
    <row r="123" spans="1:10" x14ac:dyDescent="0.2">
      <c r="A123" t="s">
        <v>206</v>
      </c>
      <c r="B123">
        <v>2016</v>
      </c>
      <c r="C123">
        <v>731</v>
      </c>
      <c r="D123" t="s">
        <v>11</v>
      </c>
      <c r="E123">
        <f t="shared" si="7"/>
        <v>0</v>
      </c>
      <c r="F123">
        <f t="shared" si="8"/>
        <v>1</v>
      </c>
      <c r="G123">
        <f t="shared" si="9"/>
        <v>0</v>
      </c>
      <c r="H123">
        <f t="shared" si="12"/>
        <v>0</v>
      </c>
      <c r="I123">
        <f t="shared" si="10"/>
        <v>0</v>
      </c>
      <c r="J123">
        <v>0</v>
      </c>
    </row>
    <row r="124" spans="1:10" x14ac:dyDescent="0.2">
      <c r="A124" t="s">
        <v>228</v>
      </c>
      <c r="B124">
        <v>2016</v>
      </c>
      <c r="C124">
        <v>947</v>
      </c>
      <c r="D124" t="s">
        <v>16</v>
      </c>
      <c r="E124">
        <f t="shared" si="7"/>
        <v>0</v>
      </c>
      <c r="F124">
        <f t="shared" si="8"/>
        <v>0</v>
      </c>
      <c r="G124">
        <f t="shared" si="9"/>
        <v>0</v>
      </c>
      <c r="H124">
        <f t="shared" si="12"/>
        <v>1</v>
      </c>
      <c r="I124">
        <f t="shared" si="10"/>
        <v>0</v>
      </c>
      <c r="J124">
        <v>0</v>
      </c>
    </row>
    <row r="125" spans="1:10" x14ac:dyDescent="0.2">
      <c r="A125" t="s">
        <v>230</v>
      </c>
      <c r="B125">
        <v>2016</v>
      </c>
      <c r="C125">
        <v>1010</v>
      </c>
      <c r="D125" t="s">
        <v>16</v>
      </c>
      <c r="E125">
        <f t="shared" si="7"/>
        <v>0</v>
      </c>
      <c r="F125">
        <f t="shared" si="8"/>
        <v>0</v>
      </c>
      <c r="G125">
        <f t="shared" si="9"/>
        <v>0</v>
      </c>
      <c r="H125">
        <f t="shared" si="12"/>
        <v>1</v>
      </c>
      <c r="I125">
        <f t="shared" si="10"/>
        <v>0</v>
      </c>
      <c r="J125">
        <v>0</v>
      </c>
    </row>
    <row r="126" spans="1:10" x14ac:dyDescent="0.2">
      <c r="A126" t="s">
        <v>233</v>
      </c>
      <c r="B126">
        <v>2016</v>
      </c>
      <c r="C126">
        <v>1134</v>
      </c>
      <c r="D126" t="s">
        <v>11</v>
      </c>
      <c r="E126">
        <f t="shared" si="7"/>
        <v>0</v>
      </c>
      <c r="F126">
        <f t="shared" si="8"/>
        <v>1</v>
      </c>
      <c r="G126">
        <f t="shared" si="9"/>
        <v>0</v>
      </c>
      <c r="H126">
        <f t="shared" si="12"/>
        <v>0</v>
      </c>
      <c r="I126">
        <f t="shared" si="10"/>
        <v>0</v>
      </c>
      <c r="J126">
        <v>0</v>
      </c>
    </row>
    <row r="127" spans="1:10" x14ac:dyDescent="0.2">
      <c r="A127" t="s">
        <v>237</v>
      </c>
      <c r="B127">
        <v>2016</v>
      </c>
      <c r="C127">
        <v>1253</v>
      </c>
      <c r="D127" t="s">
        <v>16</v>
      </c>
      <c r="E127">
        <f t="shared" si="7"/>
        <v>0</v>
      </c>
      <c r="F127">
        <f t="shared" si="8"/>
        <v>0</v>
      </c>
      <c r="G127">
        <f t="shared" si="9"/>
        <v>0</v>
      </c>
      <c r="H127">
        <f t="shared" si="12"/>
        <v>1</v>
      </c>
      <c r="I127">
        <f t="shared" si="10"/>
        <v>0</v>
      </c>
      <c r="J127">
        <v>0</v>
      </c>
    </row>
    <row r="128" spans="1:10" x14ac:dyDescent="0.2">
      <c r="A128" t="s">
        <v>240</v>
      </c>
      <c r="B128">
        <v>2016</v>
      </c>
      <c r="C128">
        <v>1305</v>
      </c>
      <c r="D128" t="s">
        <v>22</v>
      </c>
      <c r="E128">
        <f t="shared" si="7"/>
        <v>1</v>
      </c>
      <c r="F128">
        <f t="shared" si="8"/>
        <v>0</v>
      </c>
      <c r="G128">
        <f t="shared" si="9"/>
        <v>0</v>
      </c>
      <c r="H128">
        <f t="shared" si="12"/>
        <v>0</v>
      </c>
      <c r="I128">
        <f t="shared" si="10"/>
        <v>0</v>
      </c>
      <c r="J128">
        <v>0</v>
      </c>
    </row>
    <row r="129" spans="1:10" x14ac:dyDescent="0.2">
      <c r="A129" t="s">
        <v>245</v>
      </c>
      <c r="B129">
        <v>2016</v>
      </c>
      <c r="C129">
        <v>3246</v>
      </c>
      <c r="D129" t="s">
        <v>16</v>
      </c>
      <c r="E129">
        <f t="shared" si="7"/>
        <v>0</v>
      </c>
      <c r="F129">
        <f t="shared" si="8"/>
        <v>0</v>
      </c>
      <c r="G129">
        <f t="shared" si="9"/>
        <v>0</v>
      </c>
      <c r="H129">
        <f t="shared" si="12"/>
        <v>1</v>
      </c>
      <c r="I129">
        <f t="shared" si="10"/>
        <v>0</v>
      </c>
      <c r="J129">
        <v>0</v>
      </c>
    </row>
    <row r="130" spans="1:10" x14ac:dyDescent="0.2">
      <c r="A130" t="s">
        <v>27</v>
      </c>
      <c r="B130">
        <v>2015</v>
      </c>
      <c r="C130">
        <v>71</v>
      </c>
      <c r="D130" t="s">
        <v>16</v>
      </c>
      <c r="E130">
        <f t="shared" ref="E130:E193" si="13">IF(OR(ISNUMBER(FIND("CrABS", D130)), ISNUMBER(FIND("CrULN", D130))), 1, 0)</f>
        <v>0</v>
      </c>
      <c r="F130">
        <f t="shared" ref="F130:F193" si="14">IF(ISNUMBER(FIND("CrCl", D130)), 1, 0)</f>
        <v>0</v>
      </c>
      <c r="G130">
        <f t="shared" ref="G130:G193" si="15">IF(ISNUMBER(FIND("eGFR", D130)), 1, 0)</f>
        <v>0</v>
      </c>
      <c r="H130">
        <f t="shared" si="12"/>
        <v>1</v>
      </c>
      <c r="I130">
        <f t="shared" ref="I130:I193" si="16">IF(ISNUMBER(FIND("n/a", D130)), 1, 0)</f>
        <v>0</v>
      </c>
      <c r="J130">
        <v>0</v>
      </c>
    </row>
    <row r="131" spans="1:10" x14ac:dyDescent="0.2">
      <c r="A131" t="s">
        <v>38</v>
      </c>
      <c r="B131">
        <v>2015</v>
      </c>
      <c r="C131">
        <v>111</v>
      </c>
      <c r="D131" t="s">
        <v>13</v>
      </c>
      <c r="E131">
        <f t="shared" si="13"/>
        <v>0</v>
      </c>
      <c r="F131">
        <f t="shared" si="14"/>
        <v>0</v>
      </c>
      <c r="G131">
        <f t="shared" si="15"/>
        <v>0</v>
      </c>
      <c r="H131">
        <f t="shared" si="12"/>
        <v>0</v>
      </c>
      <c r="I131">
        <f t="shared" si="16"/>
        <v>1</v>
      </c>
      <c r="J131">
        <v>0</v>
      </c>
    </row>
    <row r="132" spans="1:10" x14ac:dyDescent="0.2">
      <c r="A132" t="s">
        <v>39</v>
      </c>
      <c r="B132">
        <v>2015</v>
      </c>
      <c r="C132">
        <v>119</v>
      </c>
      <c r="D132" t="s">
        <v>26</v>
      </c>
      <c r="E132">
        <f t="shared" si="13"/>
        <v>0</v>
      </c>
      <c r="F132">
        <f t="shared" si="14"/>
        <v>0</v>
      </c>
      <c r="G132">
        <f t="shared" si="15"/>
        <v>1</v>
      </c>
      <c r="H132">
        <f t="shared" si="12"/>
        <v>0</v>
      </c>
      <c r="I132">
        <f t="shared" si="16"/>
        <v>0</v>
      </c>
      <c r="J132">
        <v>0</v>
      </c>
    </row>
    <row r="133" spans="1:10" x14ac:dyDescent="0.2">
      <c r="A133" t="s">
        <v>42</v>
      </c>
      <c r="B133">
        <v>2015</v>
      </c>
      <c r="C133">
        <v>120</v>
      </c>
      <c r="D133" t="s">
        <v>34</v>
      </c>
      <c r="E133">
        <f t="shared" si="13"/>
        <v>1</v>
      </c>
      <c r="F133">
        <f t="shared" si="14"/>
        <v>0</v>
      </c>
      <c r="G133">
        <f t="shared" si="15"/>
        <v>0</v>
      </c>
      <c r="H133">
        <f t="shared" si="12"/>
        <v>0</v>
      </c>
      <c r="I133">
        <f t="shared" si="16"/>
        <v>0</v>
      </c>
      <c r="J133">
        <v>0</v>
      </c>
    </row>
    <row r="134" spans="1:10" x14ac:dyDescent="0.2">
      <c r="A134" t="s">
        <v>47</v>
      </c>
      <c r="B134">
        <v>2015</v>
      </c>
      <c r="C134">
        <v>126</v>
      </c>
      <c r="D134" t="s">
        <v>11</v>
      </c>
      <c r="E134">
        <f t="shared" si="13"/>
        <v>0</v>
      </c>
      <c r="F134">
        <f t="shared" si="14"/>
        <v>1</v>
      </c>
      <c r="G134">
        <f t="shared" si="15"/>
        <v>0</v>
      </c>
      <c r="H134">
        <f t="shared" si="12"/>
        <v>0</v>
      </c>
      <c r="I134">
        <f t="shared" si="16"/>
        <v>0</v>
      </c>
      <c r="J134">
        <v>0</v>
      </c>
    </row>
    <row r="135" spans="1:10" x14ac:dyDescent="0.2">
      <c r="A135" t="s">
        <v>53</v>
      </c>
      <c r="B135">
        <v>2015</v>
      </c>
      <c r="C135">
        <v>133</v>
      </c>
      <c r="D135" t="s">
        <v>16</v>
      </c>
      <c r="E135">
        <f t="shared" si="13"/>
        <v>0</v>
      </c>
      <c r="F135">
        <f t="shared" si="14"/>
        <v>0</v>
      </c>
      <c r="G135">
        <f t="shared" si="15"/>
        <v>0</v>
      </c>
      <c r="H135">
        <f t="shared" si="12"/>
        <v>1</v>
      </c>
      <c r="I135">
        <f t="shared" si="16"/>
        <v>0</v>
      </c>
      <c r="J135">
        <v>0</v>
      </c>
    </row>
    <row r="136" spans="1:10" x14ac:dyDescent="0.2">
      <c r="A136" t="s">
        <v>54</v>
      </c>
      <c r="B136">
        <v>2015</v>
      </c>
      <c r="C136">
        <v>140</v>
      </c>
      <c r="D136" t="s">
        <v>16</v>
      </c>
      <c r="E136">
        <f t="shared" si="13"/>
        <v>0</v>
      </c>
      <c r="F136">
        <f t="shared" si="14"/>
        <v>0</v>
      </c>
      <c r="G136">
        <f t="shared" si="15"/>
        <v>0</v>
      </c>
      <c r="H136">
        <f t="shared" si="12"/>
        <v>1</v>
      </c>
      <c r="I136">
        <f t="shared" si="16"/>
        <v>0</v>
      </c>
      <c r="J136">
        <v>0</v>
      </c>
    </row>
    <row r="137" spans="1:10" x14ac:dyDescent="0.2">
      <c r="A137" t="s">
        <v>67</v>
      </c>
      <c r="B137">
        <v>2015</v>
      </c>
      <c r="C137">
        <v>182</v>
      </c>
      <c r="D137" t="s">
        <v>16</v>
      </c>
      <c r="E137">
        <f t="shared" si="13"/>
        <v>0</v>
      </c>
      <c r="F137">
        <f t="shared" si="14"/>
        <v>0</v>
      </c>
      <c r="G137">
        <f t="shared" si="15"/>
        <v>0</v>
      </c>
      <c r="H137">
        <f t="shared" si="12"/>
        <v>1</v>
      </c>
      <c r="I137">
        <f t="shared" si="16"/>
        <v>0</v>
      </c>
      <c r="J137">
        <v>0</v>
      </c>
    </row>
    <row r="138" spans="1:10" x14ac:dyDescent="0.2">
      <c r="A138" t="s">
        <v>73</v>
      </c>
      <c r="B138">
        <v>2015</v>
      </c>
      <c r="C138">
        <v>202</v>
      </c>
      <c r="D138" t="s">
        <v>11</v>
      </c>
      <c r="E138">
        <f t="shared" si="13"/>
        <v>0</v>
      </c>
      <c r="F138">
        <f t="shared" si="14"/>
        <v>1</v>
      </c>
      <c r="G138">
        <f t="shared" si="15"/>
        <v>0</v>
      </c>
      <c r="H138">
        <f t="shared" si="12"/>
        <v>0</v>
      </c>
      <c r="I138">
        <f t="shared" si="16"/>
        <v>0</v>
      </c>
      <c r="J138">
        <v>0</v>
      </c>
    </row>
    <row r="139" spans="1:10" x14ac:dyDescent="0.2">
      <c r="A139" t="s">
        <v>82</v>
      </c>
      <c r="B139">
        <v>2015</v>
      </c>
      <c r="C139">
        <v>243</v>
      </c>
      <c r="D139" t="s">
        <v>11</v>
      </c>
      <c r="E139">
        <f t="shared" si="13"/>
        <v>0</v>
      </c>
      <c r="F139">
        <f t="shared" si="14"/>
        <v>1</v>
      </c>
      <c r="G139">
        <f t="shared" si="15"/>
        <v>0</v>
      </c>
      <c r="H139">
        <f t="shared" si="12"/>
        <v>0</v>
      </c>
      <c r="I139">
        <f t="shared" si="16"/>
        <v>0</v>
      </c>
      <c r="J139">
        <v>0</v>
      </c>
    </row>
    <row r="140" spans="1:10" x14ac:dyDescent="0.2">
      <c r="A140" t="s">
        <v>88</v>
      </c>
      <c r="B140">
        <v>2015</v>
      </c>
      <c r="C140">
        <v>258</v>
      </c>
      <c r="D140" t="s">
        <v>16</v>
      </c>
      <c r="E140">
        <f t="shared" si="13"/>
        <v>0</v>
      </c>
      <c r="F140">
        <f t="shared" si="14"/>
        <v>0</v>
      </c>
      <c r="G140">
        <f t="shared" si="15"/>
        <v>0</v>
      </c>
      <c r="H140">
        <f t="shared" si="12"/>
        <v>1</v>
      </c>
      <c r="I140">
        <f t="shared" si="16"/>
        <v>0</v>
      </c>
      <c r="J140">
        <v>0</v>
      </c>
    </row>
    <row r="141" spans="1:10" x14ac:dyDescent="0.2">
      <c r="A141" t="s">
        <v>90</v>
      </c>
      <c r="B141">
        <v>2015</v>
      </c>
      <c r="C141">
        <v>266</v>
      </c>
      <c r="D141" t="s">
        <v>34</v>
      </c>
      <c r="E141">
        <f t="shared" si="13"/>
        <v>1</v>
      </c>
      <c r="F141">
        <f t="shared" si="14"/>
        <v>0</v>
      </c>
      <c r="G141">
        <f t="shared" si="15"/>
        <v>0</v>
      </c>
      <c r="H141">
        <f t="shared" si="12"/>
        <v>0</v>
      </c>
      <c r="I141">
        <f t="shared" si="16"/>
        <v>0</v>
      </c>
      <c r="J141">
        <v>0</v>
      </c>
    </row>
    <row r="142" spans="1:10" x14ac:dyDescent="0.2">
      <c r="A142" t="s">
        <v>97</v>
      </c>
      <c r="B142">
        <v>2015</v>
      </c>
      <c r="C142">
        <v>307</v>
      </c>
      <c r="D142" t="s">
        <v>16</v>
      </c>
      <c r="E142">
        <f t="shared" si="13"/>
        <v>0</v>
      </c>
      <c r="F142">
        <f t="shared" si="14"/>
        <v>0</v>
      </c>
      <c r="G142">
        <f t="shared" si="15"/>
        <v>0</v>
      </c>
      <c r="H142">
        <f t="shared" ref="H142:H173" si="17">IF(ISNUMBER(FIND("Heterogeneous", D142)), 1, 0)</f>
        <v>1</v>
      </c>
      <c r="I142">
        <f t="shared" si="16"/>
        <v>0</v>
      </c>
      <c r="J142">
        <v>0</v>
      </c>
    </row>
    <row r="143" spans="1:10" x14ac:dyDescent="0.2">
      <c r="A143" t="s">
        <v>100</v>
      </c>
      <c r="B143">
        <v>2015</v>
      </c>
      <c r="C143">
        <v>326</v>
      </c>
      <c r="D143" t="s">
        <v>22</v>
      </c>
      <c r="E143">
        <f t="shared" si="13"/>
        <v>1</v>
      </c>
      <c r="F143">
        <f t="shared" si="14"/>
        <v>0</v>
      </c>
      <c r="G143">
        <f t="shared" si="15"/>
        <v>0</v>
      </c>
      <c r="H143">
        <f t="shared" si="17"/>
        <v>0</v>
      </c>
      <c r="I143">
        <f t="shared" si="16"/>
        <v>0</v>
      </c>
      <c r="J143">
        <v>0</v>
      </c>
    </row>
    <row r="144" spans="1:10" x14ac:dyDescent="0.2">
      <c r="A144" t="s">
        <v>117</v>
      </c>
      <c r="B144">
        <v>2015</v>
      </c>
      <c r="C144">
        <v>371</v>
      </c>
      <c r="D144" t="s">
        <v>11</v>
      </c>
      <c r="E144">
        <f t="shared" si="13"/>
        <v>0</v>
      </c>
      <c r="F144">
        <f t="shared" si="14"/>
        <v>1</v>
      </c>
      <c r="G144">
        <f t="shared" si="15"/>
        <v>0</v>
      </c>
      <c r="H144">
        <f t="shared" si="17"/>
        <v>0</v>
      </c>
      <c r="I144">
        <f t="shared" si="16"/>
        <v>0</v>
      </c>
      <c r="J144">
        <v>0</v>
      </c>
    </row>
    <row r="145" spans="1:10" x14ac:dyDescent="0.2">
      <c r="A145" t="s">
        <v>123</v>
      </c>
      <c r="B145">
        <v>2015</v>
      </c>
      <c r="C145">
        <v>399</v>
      </c>
      <c r="D145" t="s">
        <v>16</v>
      </c>
      <c r="E145">
        <f t="shared" si="13"/>
        <v>0</v>
      </c>
      <c r="F145">
        <f t="shared" si="14"/>
        <v>0</v>
      </c>
      <c r="G145">
        <f t="shared" si="15"/>
        <v>0</v>
      </c>
      <c r="H145">
        <f t="shared" si="17"/>
        <v>1</v>
      </c>
      <c r="I145">
        <f t="shared" si="16"/>
        <v>0</v>
      </c>
      <c r="J145">
        <v>0</v>
      </c>
    </row>
    <row r="146" spans="1:10" x14ac:dyDescent="0.2">
      <c r="A146" t="s">
        <v>127</v>
      </c>
      <c r="B146">
        <v>2015</v>
      </c>
      <c r="C146">
        <v>424</v>
      </c>
      <c r="D146" t="s">
        <v>11</v>
      </c>
      <c r="E146">
        <f t="shared" si="13"/>
        <v>0</v>
      </c>
      <c r="F146">
        <f t="shared" si="14"/>
        <v>1</v>
      </c>
      <c r="G146">
        <f t="shared" si="15"/>
        <v>0</v>
      </c>
      <c r="H146">
        <f t="shared" si="17"/>
        <v>0</v>
      </c>
      <c r="I146">
        <f t="shared" si="16"/>
        <v>0</v>
      </c>
      <c r="J146">
        <v>0</v>
      </c>
    </row>
    <row r="147" spans="1:10" x14ac:dyDescent="0.2">
      <c r="A147" t="s">
        <v>129</v>
      </c>
      <c r="B147">
        <v>2015</v>
      </c>
      <c r="C147">
        <v>432</v>
      </c>
      <c r="D147" t="s">
        <v>11</v>
      </c>
      <c r="E147">
        <f t="shared" si="13"/>
        <v>0</v>
      </c>
      <c r="F147">
        <f t="shared" si="14"/>
        <v>1</v>
      </c>
      <c r="G147">
        <f t="shared" si="15"/>
        <v>0</v>
      </c>
      <c r="H147">
        <f t="shared" si="17"/>
        <v>0</v>
      </c>
      <c r="I147">
        <f t="shared" si="16"/>
        <v>0</v>
      </c>
      <c r="J147">
        <v>0</v>
      </c>
    </row>
    <row r="148" spans="1:10" x14ac:dyDescent="0.2">
      <c r="A148" t="s">
        <v>133</v>
      </c>
      <c r="B148">
        <v>2015</v>
      </c>
      <c r="C148">
        <v>442</v>
      </c>
      <c r="D148" t="s">
        <v>11</v>
      </c>
      <c r="E148">
        <f t="shared" si="13"/>
        <v>0</v>
      </c>
      <c r="F148">
        <f t="shared" si="14"/>
        <v>1</v>
      </c>
      <c r="G148">
        <f t="shared" si="15"/>
        <v>0</v>
      </c>
      <c r="H148">
        <f t="shared" si="17"/>
        <v>0</v>
      </c>
      <c r="I148">
        <f t="shared" si="16"/>
        <v>0</v>
      </c>
      <c r="J148">
        <v>0</v>
      </c>
    </row>
    <row r="149" spans="1:10" x14ac:dyDescent="0.2">
      <c r="A149" t="s">
        <v>140</v>
      </c>
      <c r="B149">
        <v>2015</v>
      </c>
      <c r="C149">
        <v>459</v>
      </c>
      <c r="D149" t="s">
        <v>11</v>
      </c>
      <c r="E149">
        <f t="shared" si="13"/>
        <v>0</v>
      </c>
      <c r="F149">
        <f t="shared" si="14"/>
        <v>1</v>
      </c>
      <c r="G149">
        <f t="shared" si="15"/>
        <v>0</v>
      </c>
      <c r="H149">
        <f t="shared" si="17"/>
        <v>0</v>
      </c>
      <c r="I149">
        <f t="shared" si="16"/>
        <v>0</v>
      </c>
      <c r="J149">
        <v>0</v>
      </c>
    </row>
    <row r="150" spans="1:10" x14ac:dyDescent="0.2">
      <c r="A150" t="s">
        <v>144</v>
      </c>
      <c r="B150">
        <v>2015</v>
      </c>
      <c r="C150">
        <v>478</v>
      </c>
      <c r="D150" t="s">
        <v>11</v>
      </c>
      <c r="E150">
        <f t="shared" si="13"/>
        <v>0</v>
      </c>
      <c r="F150">
        <f t="shared" si="14"/>
        <v>1</v>
      </c>
      <c r="G150">
        <f t="shared" si="15"/>
        <v>0</v>
      </c>
      <c r="H150">
        <f t="shared" si="17"/>
        <v>0</v>
      </c>
      <c r="I150">
        <f t="shared" si="16"/>
        <v>0</v>
      </c>
      <c r="J150">
        <v>0</v>
      </c>
    </row>
    <row r="151" spans="1:10" x14ac:dyDescent="0.2">
      <c r="A151" t="s">
        <v>149</v>
      </c>
      <c r="B151">
        <v>2015</v>
      </c>
      <c r="C151">
        <v>499</v>
      </c>
      <c r="D151" t="s">
        <v>11</v>
      </c>
      <c r="E151">
        <f t="shared" si="13"/>
        <v>0</v>
      </c>
      <c r="F151">
        <f t="shared" si="14"/>
        <v>1</v>
      </c>
      <c r="G151">
        <f t="shared" si="15"/>
        <v>0</v>
      </c>
      <c r="H151">
        <f t="shared" si="17"/>
        <v>0</v>
      </c>
      <c r="I151">
        <f t="shared" si="16"/>
        <v>0</v>
      </c>
      <c r="J151">
        <v>0</v>
      </c>
    </row>
    <row r="152" spans="1:10" x14ac:dyDescent="0.2">
      <c r="A152" t="s">
        <v>153</v>
      </c>
      <c r="B152">
        <v>2015</v>
      </c>
      <c r="C152">
        <v>504</v>
      </c>
      <c r="D152" t="s">
        <v>16</v>
      </c>
      <c r="E152">
        <f t="shared" si="13"/>
        <v>0</v>
      </c>
      <c r="F152">
        <f t="shared" si="14"/>
        <v>0</v>
      </c>
      <c r="G152">
        <f t="shared" si="15"/>
        <v>0</v>
      </c>
      <c r="H152">
        <f t="shared" si="17"/>
        <v>1</v>
      </c>
      <c r="I152">
        <f t="shared" si="16"/>
        <v>0</v>
      </c>
      <c r="J152">
        <v>0</v>
      </c>
    </row>
    <row r="153" spans="1:10" x14ac:dyDescent="0.2">
      <c r="A153" t="s">
        <v>158</v>
      </c>
      <c r="B153">
        <v>2015</v>
      </c>
      <c r="C153">
        <v>530</v>
      </c>
      <c r="D153" t="s">
        <v>11</v>
      </c>
      <c r="E153">
        <f t="shared" si="13"/>
        <v>0</v>
      </c>
      <c r="F153">
        <f t="shared" si="14"/>
        <v>1</v>
      </c>
      <c r="G153">
        <f t="shared" si="15"/>
        <v>0</v>
      </c>
      <c r="H153">
        <f t="shared" si="17"/>
        <v>0</v>
      </c>
      <c r="I153">
        <f t="shared" si="16"/>
        <v>0</v>
      </c>
      <c r="J153">
        <v>0</v>
      </c>
    </row>
    <row r="154" spans="1:10" x14ac:dyDescent="0.2">
      <c r="A154" t="s">
        <v>159</v>
      </c>
      <c r="B154">
        <v>2015</v>
      </c>
      <c r="C154">
        <v>533</v>
      </c>
      <c r="D154" t="s">
        <v>16</v>
      </c>
      <c r="E154">
        <f t="shared" si="13"/>
        <v>0</v>
      </c>
      <c r="F154">
        <f t="shared" si="14"/>
        <v>0</v>
      </c>
      <c r="G154">
        <f t="shared" si="15"/>
        <v>0</v>
      </c>
      <c r="H154">
        <f t="shared" si="17"/>
        <v>1</v>
      </c>
      <c r="I154">
        <f t="shared" si="16"/>
        <v>0</v>
      </c>
      <c r="J154">
        <v>0</v>
      </c>
    </row>
    <row r="155" spans="1:10" x14ac:dyDescent="0.2">
      <c r="A155" t="s">
        <v>167</v>
      </c>
      <c r="B155">
        <v>2015</v>
      </c>
      <c r="C155">
        <v>566</v>
      </c>
      <c r="D155" t="s">
        <v>16</v>
      </c>
      <c r="E155">
        <f t="shared" si="13"/>
        <v>0</v>
      </c>
      <c r="F155">
        <f t="shared" si="14"/>
        <v>0</v>
      </c>
      <c r="G155">
        <f t="shared" si="15"/>
        <v>0</v>
      </c>
      <c r="H155">
        <f t="shared" si="17"/>
        <v>1</v>
      </c>
      <c r="I155">
        <f t="shared" si="16"/>
        <v>0</v>
      </c>
      <c r="J155">
        <v>0</v>
      </c>
    </row>
    <row r="156" spans="1:10" x14ac:dyDescent="0.2">
      <c r="A156" t="s">
        <v>170</v>
      </c>
      <c r="B156">
        <v>2015</v>
      </c>
      <c r="C156">
        <v>570</v>
      </c>
      <c r="D156" t="s">
        <v>11</v>
      </c>
      <c r="E156">
        <f t="shared" si="13"/>
        <v>0</v>
      </c>
      <c r="F156">
        <f t="shared" si="14"/>
        <v>1</v>
      </c>
      <c r="G156">
        <f t="shared" si="15"/>
        <v>0</v>
      </c>
      <c r="H156">
        <f t="shared" si="17"/>
        <v>0</v>
      </c>
      <c r="I156">
        <f t="shared" si="16"/>
        <v>0</v>
      </c>
      <c r="J156">
        <v>0</v>
      </c>
    </row>
    <row r="157" spans="1:10" x14ac:dyDescent="0.2">
      <c r="A157" t="s">
        <v>171</v>
      </c>
      <c r="B157">
        <v>2015</v>
      </c>
      <c r="C157">
        <v>572</v>
      </c>
      <c r="D157" t="s">
        <v>11</v>
      </c>
      <c r="E157">
        <f t="shared" si="13"/>
        <v>0</v>
      </c>
      <c r="F157">
        <f t="shared" si="14"/>
        <v>1</v>
      </c>
      <c r="G157">
        <f t="shared" si="15"/>
        <v>0</v>
      </c>
      <c r="H157">
        <f t="shared" si="17"/>
        <v>0</v>
      </c>
      <c r="I157">
        <f t="shared" si="16"/>
        <v>0</v>
      </c>
      <c r="J157">
        <v>0</v>
      </c>
    </row>
    <row r="158" spans="1:10" x14ac:dyDescent="0.2">
      <c r="A158" t="s">
        <v>172</v>
      </c>
      <c r="B158">
        <v>2015</v>
      </c>
      <c r="C158">
        <v>572</v>
      </c>
      <c r="D158" t="s">
        <v>11</v>
      </c>
      <c r="E158">
        <f t="shared" si="13"/>
        <v>0</v>
      </c>
      <c r="F158">
        <f t="shared" si="14"/>
        <v>1</v>
      </c>
      <c r="G158">
        <f t="shared" si="15"/>
        <v>0</v>
      </c>
      <c r="H158">
        <f t="shared" si="17"/>
        <v>0</v>
      </c>
      <c r="I158">
        <f t="shared" si="16"/>
        <v>0</v>
      </c>
      <c r="J158">
        <v>0</v>
      </c>
    </row>
    <row r="159" spans="1:10" x14ac:dyDescent="0.2">
      <c r="A159" t="s">
        <v>174</v>
      </c>
      <c r="B159">
        <v>2015</v>
      </c>
      <c r="C159">
        <v>592</v>
      </c>
      <c r="D159" t="s">
        <v>16</v>
      </c>
      <c r="E159">
        <f t="shared" si="13"/>
        <v>0</v>
      </c>
      <c r="F159">
        <f t="shared" si="14"/>
        <v>0</v>
      </c>
      <c r="G159">
        <f t="shared" si="15"/>
        <v>0</v>
      </c>
      <c r="H159">
        <f t="shared" si="17"/>
        <v>1</v>
      </c>
      <c r="I159">
        <f t="shared" si="16"/>
        <v>0</v>
      </c>
      <c r="J159">
        <v>0</v>
      </c>
    </row>
    <row r="160" spans="1:10" x14ac:dyDescent="0.2">
      <c r="A160" t="s">
        <v>175</v>
      </c>
      <c r="B160">
        <v>2015</v>
      </c>
      <c r="C160">
        <v>595</v>
      </c>
      <c r="D160" t="s">
        <v>11</v>
      </c>
      <c r="E160">
        <f t="shared" si="13"/>
        <v>0</v>
      </c>
      <c r="F160">
        <f t="shared" si="14"/>
        <v>1</v>
      </c>
      <c r="G160">
        <f t="shared" si="15"/>
        <v>0</v>
      </c>
      <c r="H160">
        <f t="shared" si="17"/>
        <v>0</v>
      </c>
      <c r="I160">
        <f t="shared" si="16"/>
        <v>0</v>
      </c>
      <c r="J160">
        <v>0</v>
      </c>
    </row>
    <row r="161" spans="1:10" x14ac:dyDescent="0.2">
      <c r="A161" t="s">
        <v>181</v>
      </c>
      <c r="B161">
        <v>2015</v>
      </c>
      <c r="C161">
        <v>622</v>
      </c>
      <c r="D161" t="s">
        <v>16</v>
      </c>
      <c r="E161">
        <f t="shared" si="13"/>
        <v>0</v>
      </c>
      <c r="F161">
        <f t="shared" si="14"/>
        <v>0</v>
      </c>
      <c r="G161">
        <f t="shared" si="15"/>
        <v>0</v>
      </c>
      <c r="H161">
        <f t="shared" si="17"/>
        <v>1</v>
      </c>
      <c r="I161">
        <f t="shared" si="16"/>
        <v>0</v>
      </c>
      <c r="J161">
        <v>0</v>
      </c>
    </row>
    <row r="162" spans="1:10" x14ac:dyDescent="0.2">
      <c r="A162" t="s">
        <v>182</v>
      </c>
      <c r="B162">
        <v>2015</v>
      </c>
      <c r="C162">
        <v>624</v>
      </c>
      <c r="D162" t="s">
        <v>16</v>
      </c>
      <c r="E162">
        <f t="shared" si="13"/>
        <v>0</v>
      </c>
      <c r="F162">
        <f t="shared" si="14"/>
        <v>0</v>
      </c>
      <c r="G162">
        <f t="shared" si="15"/>
        <v>0</v>
      </c>
      <c r="H162">
        <f t="shared" si="17"/>
        <v>1</v>
      </c>
      <c r="I162">
        <f t="shared" si="16"/>
        <v>0</v>
      </c>
      <c r="J162">
        <v>0</v>
      </c>
    </row>
    <row r="163" spans="1:10" x14ac:dyDescent="0.2">
      <c r="A163" t="s">
        <v>184</v>
      </c>
      <c r="B163">
        <v>2015</v>
      </c>
      <c r="C163">
        <v>628</v>
      </c>
      <c r="D163" t="s">
        <v>16</v>
      </c>
      <c r="E163">
        <f t="shared" si="13"/>
        <v>0</v>
      </c>
      <c r="F163">
        <f t="shared" si="14"/>
        <v>0</v>
      </c>
      <c r="G163">
        <f t="shared" si="15"/>
        <v>0</v>
      </c>
      <c r="H163">
        <f t="shared" si="17"/>
        <v>1</v>
      </c>
      <c r="I163">
        <f t="shared" si="16"/>
        <v>0</v>
      </c>
      <c r="J163">
        <v>0</v>
      </c>
    </row>
    <row r="164" spans="1:10" x14ac:dyDescent="0.2">
      <c r="A164" t="s">
        <v>186</v>
      </c>
      <c r="B164">
        <v>2015</v>
      </c>
      <c r="C164">
        <v>645</v>
      </c>
      <c r="D164" t="s">
        <v>13</v>
      </c>
      <c r="E164">
        <f t="shared" si="13"/>
        <v>0</v>
      </c>
      <c r="F164">
        <f t="shared" si="14"/>
        <v>0</v>
      </c>
      <c r="G164">
        <f t="shared" si="15"/>
        <v>0</v>
      </c>
      <c r="H164">
        <f t="shared" si="17"/>
        <v>0</v>
      </c>
      <c r="I164">
        <f t="shared" si="16"/>
        <v>1</v>
      </c>
      <c r="J164">
        <v>0</v>
      </c>
    </row>
    <row r="165" spans="1:10" x14ac:dyDescent="0.2">
      <c r="A165" t="s">
        <v>189</v>
      </c>
      <c r="B165">
        <v>2015</v>
      </c>
      <c r="C165">
        <v>663</v>
      </c>
      <c r="D165" t="s">
        <v>16</v>
      </c>
      <c r="E165">
        <f t="shared" si="13"/>
        <v>0</v>
      </c>
      <c r="F165">
        <f t="shared" si="14"/>
        <v>0</v>
      </c>
      <c r="G165">
        <f t="shared" si="15"/>
        <v>0</v>
      </c>
      <c r="H165">
        <f t="shared" si="17"/>
        <v>1</v>
      </c>
      <c r="I165">
        <f t="shared" si="16"/>
        <v>0</v>
      </c>
      <c r="J165">
        <v>0</v>
      </c>
    </row>
    <row r="166" spans="1:10" x14ac:dyDescent="0.2">
      <c r="A166" t="s">
        <v>194</v>
      </c>
      <c r="B166">
        <v>2015</v>
      </c>
      <c r="C166">
        <v>691</v>
      </c>
      <c r="D166" t="s">
        <v>11</v>
      </c>
      <c r="E166">
        <f t="shared" si="13"/>
        <v>0</v>
      </c>
      <c r="F166">
        <f t="shared" si="14"/>
        <v>1</v>
      </c>
      <c r="G166">
        <f t="shared" si="15"/>
        <v>0</v>
      </c>
      <c r="H166">
        <f t="shared" si="17"/>
        <v>0</v>
      </c>
      <c r="I166">
        <f t="shared" si="16"/>
        <v>0</v>
      </c>
      <c r="J166">
        <v>0</v>
      </c>
    </row>
    <row r="167" spans="1:10" x14ac:dyDescent="0.2">
      <c r="A167" t="s">
        <v>199</v>
      </c>
      <c r="B167">
        <v>2015</v>
      </c>
      <c r="C167">
        <v>706</v>
      </c>
      <c r="D167" t="s">
        <v>11</v>
      </c>
      <c r="E167">
        <f t="shared" si="13"/>
        <v>0</v>
      </c>
      <c r="F167">
        <f t="shared" si="14"/>
        <v>1</v>
      </c>
      <c r="G167">
        <f t="shared" si="15"/>
        <v>0</v>
      </c>
      <c r="H167">
        <f t="shared" si="17"/>
        <v>0</v>
      </c>
      <c r="I167">
        <f t="shared" si="16"/>
        <v>0</v>
      </c>
      <c r="J167">
        <v>0</v>
      </c>
    </row>
    <row r="168" spans="1:10" x14ac:dyDescent="0.2">
      <c r="A168" t="s">
        <v>202</v>
      </c>
      <c r="B168">
        <v>2015</v>
      </c>
      <c r="C168">
        <v>719</v>
      </c>
      <c r="D168" t="s">
        <v>34</v>
      </c>
      <c r="E168">
        <f t="shared" si="13"/>
        <v>1</v>
      </c>
      <c r="F168">
        <f t="shared" si="14"/>
        <v>0</v>
      </c>
      <c r="G168">
        <f t="shared" si="15"/>
        <v>0</v>
      </c>
      <c r="H168">
        <f t="shared" si="17"/>
        <v>0</v>
      </c>
      <c r="I168">
        <f t="shared" si="16"/>
        <v>0</v>
      </c>
      <c r="J168">
        <v>0</v>
      </c>
    </row>
    <row r="169" spans="1:10" x14ac:dyDescent="0.2">
      <c r="A169" t="s">
        <v>203</v>
      </c>
      <c r="B169">
        <v>2015</v>
      </c>
      <c r="C169">
        <v>723</v>
      </c>
      <c r="D169" t="s">
        <v>34</v>
      </c>
      <c r="E169">
        <f t="shared" si="13"/>
        <v>1</v>
      </c>
      <c r="F169">
        <f t="shared" si="14"/>
        <v>0</v>
      </c>
      <c r="G169">
        <f t="shared" si="15"/>
        <v>0</v>
      </c>
      <c r="H169">
        <f t="shared" si="17"/>
        <v>0</v>
      </c>
      <c r="I169">
        <f t="shared" si="16"/>
        <v>0</v>
      </c>
      <c r="J169">
        <v>0</v>
      </c>
    </row>
    <row r="170" spans="1:10" x14ac:dyDescent="0.2">
      <c r="A170" t="s">
        <v>207</v>
      </c>
      <c r="B170">
        <v>2015</v>
      </c>
      <c r="C170">
        <v>736</v>
      </c>
      <c r="D170" t="s">
        <v>11</v>
      </c>
      <c r="E170">
        <f t="shared" si="13"/>
        <v>0</v>
      </c>
      <c r="F170">
        <f t="shared" si="14"/>
        <v>1</v>
      </c>
      <c r="G170">
        <f t="shared" si="15"/>
        <v>0</v>
      </c>
      <c r="H170">
        <f t="shared" si="17"/>
        <v>0</v>
      </c>
      <c r="I170">
        <f t="shared" si="16"/>
        <v>0</v>
      </c>
      <c r="J170">
        <v>0</v>
      </c>
    </row>
    <row r="171" spans="1:10" x14ac:dyDescent="0.2">
      <c r="A171" t="s">
        <v>209</v>
      </c>
      <c r="B171">
        <v>2015</v>
      </c>
      <c r="C171">
        <v>763</v>
      </c>
      <c r="D171" t="s">
        <v>16</v>
      </c>
      <c r="E171">
        <f t="shared" si="13"/>
        <v>0</v>
      </c>
      <c r="F171">
        <f t="shared" si="14"/>
        <v>0</v>
      </c>
      <c r="G171">
        <f t="shared" si="15"/>
        <v>0</v>
      </c>
      <c r="H171">
        <f t="shared" si="17"/>
        <v>1</v>
      </c>
      <c r="I171">
        <f t="shared" si="16"/>
        <v>0</v>
      </c>
      <c r="J171">
        <v>0</v>
      </c>
    </row>
    <row r="172" spans="1:10" x14ac:dyDescent="0.2">
      <c r="A172" t="s">
        <v>213</v>
      </c>
      <c r="B172">
        <v>2015</v>
      </c>
      <c r="C172">
        <v>781</v>
      </c>
      <c r="D172" t="s">
        <v>11</v>
      </c>
      <c r="E172">
        <f t="shared" si="13"/>
        <v>0</v>
      </c>
      <c r="F172">
        <f t="shared" si="14"/>
        <v>1</v>
      </c>
      <c r="G172">
        <f t="shared" si="15"/>
        <v>0</v>
      </c>
      <c r="H172">
        <f t="shared" si="17"/>
        <v>0</v>
      </c>
      <c r="I172">
        <f t="shared" si="16"/>
        <v>0</v>
      </c>
      <c r="J172">
        <v>0</v>
      </c>
    </row>
    <row r="173" spans="1:10" x14ac:dyDescent="0.2">
      <c r="A173" t="s">
        <v>215</v>
      </c>
      <c r="B173">
        <v>2015</v>
      </c>
      <c r="C173">
        <v>792</v>
      </c>
      <c r="D173" t="s">
        <v>11</v>
      </c>
      <c r="E173">
        <f t="shared" si="13"/>
        <v>0</v>
      </c>
      <c r="F173">
        <f t="shared" si="14"/>
        <v>1</v>
      </c>
      <c r="G173">
        <f t="shared" si="15"/>
        <v>0</v>
      </c>
      <c r="H173">
        <f t="shared" si="17"/>
        <v>0</v>
      </c>
      <c r="I173">
        <f t="shared" si="16"/>
        <v>0</v>
      </c>
      <c r="J173">
        <v>0</v>
      </c>
    </row>
    <row r="174" spans="1:10" x14ac:dyDescent="0.2">
      <c r="A174" t="s">
        <v>217</v>
      </c>
      <c r="B174">
        <v>2015</v>
      </c>
      <c r="C174">
        <v>802</v>
      </c>
      <c r="D174" t="s">
        <v>34</v>
      </c>
      <c r="E174">
        <f t="shared" si="13"/>
        <v>1</v>
      </c>
      <c r="F174">
        <f t="shared" si="14"/>
        <v>0</v>
      </c>
      <c r="G174">
        <f t="shared" si="15"/>
        <v>0</v>
      </c>
      <c r="H174">
        <f t="shared" ref="H174:H205" si="18">IF(ISNUMBER(FIND("Heterogeneous", D174)), 1, 0)</f>
        <v>0</v>
      </c>
      <c r="I174">
        <f t="shared" si="16"/>
        <v>0</v>
      </c>
      <c r="J174">
        <v>0</v>
      </c>
    </row>
    <row r="175" spans="1:10" x14ac:dyDescent="0.2">
      <c r="A175" t="s">
        <v>218</v>
      </c>
      <c r="B175">
        <v>2015</v>
      </c>
      <c r="C175">
        <v>815</v>
      </c>
      <c r="D175" t="s">
        <v>11</v>
      </c>
      <c r="E175">
        <f t="shared" si="13"/>
        <v>0</v>
      </c>
      <c r="F175">
        <f t="shared" si="14"/>
        <v>1</v>
      </c>
      <c r="G175">
        <f t="shared" si="15"/>
        <v>0</v>
      </c>
      <c r="H175">
        <f t="shared" si="18"/>
        <v>0</v>
      </c>
      <c r="I175">
        <f t="shared" si="16"/>
        <v>0</v>
      </c>
      <c r="J175">
        <v>0</v>
      </c>
    </row>
    <row r="176" spans="1:10" x14ac:dyDescent="0.2">
      <c r="A176" t="s">
        <v>219</v>
      </c>
      <c r="B176">
        <v>2015</v>
      </c>
      <c r="C176">
        <v>823</v>
      </c>
      <c r="D176" t="s">
        <v>11</v>
      </c>
      <c r="E176">
        <f t="shared" si="13"/>
        <v>0</v>
      </c>
      <c r="F176">
        <f t="shared" si="14"/>
        <v>1</v>
      </c>
      <c r="G176">
        <f t="shared" si="15"/>
        <v>0</v>
      </c>
      <c r="H176">
        <f t="shared" si="18"/>
        <v>0</v>
      </c>
      <c r="I176">
        <f t="shared" si="16"/>
        <v>0</v>
      </c>
      <c r="J176">
        <v>0</v>
      </c>
    </row>
    <row r="177" spans="1:10" x14ac:dyDescent="0.2">
      <c r="A177" t="s">
        <v>223</v>
      </c>
      <c r="B177">
        <v>2015</v>
      </c>
      <c r="C177">
        <v>882</v>
      </c>
      <c r="D177" t="s">
        <v>16</v>
      </c>
      <c r="E177">
        <f t="shared" si="13"/>
        <v>0</v>
      </c>
      <c r="F177">
        <f t="shared" si="14"/>
        <v>0</v>
      </c>
      <c r="G177">
        <f t="shared" si="15"/>
        <v>0</v>
      </c>
      <c r="H177">
        <f t="shared" si="18"/>
        <v>1</v>
      </c>
      <c r="I177">
        <f t="shared" si="16"/>
        <v>0</v>
      </c>
      <c r="J177">
        <v>0</v>
      </c>
    </row>
    <row r="178" spans="1:10" x14ac:dyDescent="0.2">
      <c r="A178" t="s">
        <v>224</v>
      </c>
      <c r="B178">
        <v>2015</v>
      </c>
      <c r="C178">
        <v>902</v>
      </c>
      <c r="D178" t="s">
        <v>11</v>
      </c>
      <c r="E178">
        <f t="shared" si="13"/>
        <v>0</v>
      </c>
      <c r="F178">
        <f t="shared" si="14"/>
        <v>1</v>
      </c>
      <c r="G178">
        <f t="shared" si="15"/>
        <v>0</v>
      </c>
      <c r="H178">
        <f t="shared" si="18"/>
        <v>0</v>
      </c>
      <c r="I178">
        <f t="shared" si="16"/>
        <v>0</v>
      </c>
      <c r="J178">
        <v>0</v>
      </c>
    </row>
    <row r="179" spans="1:10" x14ac:dyDescent="0.2">
      <c r="A179" t="s">
        <v>225</v>
      </c>
      <c r="B179">
        <v>2015</v>
      </c>
      <c r="C179">
        <v>915</v>
      </c>
      <c r="D179" t="s">
        <v>11</v>
      </c>
      <c r="E179">
        <f t="shared" si="13"/>
        <v>0</v>
      </c>
      <c r="F179">
        <f t="shared" si="14"/>
        <v>1</v>
      </c>
      <c r="G179">
        <f t="shared" si="15"/>
        <v>0</v>
      </c>
      <c r="H179">
        <f t="shared" si="18"/>
        <v>0</v>
      </c>
      <c r="I179">
        <f t="shared" si="16"/>
        <v>0</v>
      </c>
      <c r="J179">
        <v>0</v>
      </c>
    </row>
    <row r="180" spans="1:10" x14ac:dyDescent="0.2">
      <c r="A180" t="s">
        <v>227</v>
      </c>
      <c r="B180">
        <v>2015</v>
      </c>
      <c r="C180">
        <v>931</v>
      </c>
      <c r="D180" t="s">
        <v>11</v>
      </c>
      <c r="E180">
        <f t="shared" si="13"/>
        <v>0</v>
      </c>
      <c r="F180">
        <f t="shared" si="14"/>
        <v>1</v>
      </c>
      <c r="G180">
        <f t="shared" si="15"/>
        <v>0</v>
      </c>
      <c r="H180">
        <f t="shared" si="18"/>
        <v>0</v>
      </c>
      <c r="I180">
        <f t="shared" si="16"/>
        <v>0</v>
      </c>
      <c r="J180">
        <v>0</v>
      </c>
    </row>
    <row r="181" spans="1:10" x14ac:dyDescent="0.2">
      <c r="A181" t="s">
        <v>229</v>
      </c>
      <c r="B181">
        <v>2015</v>
      </c>
      <c r="C181">
        <v>970</v>
      </c>
      <c r="D181" t="s">
        <v>16</v>
      </c>
      <c r="E181">
        <f t="shared" si="13"/>
        <v>0</v>
      </c>
      <c r="F181">
        <f t="shared" si="14"/>
        <v>0</v>
      </c>
      <c r="G181">
        <f t="shared" si="15"/>
        <v>0</v>
      </c>
      <c r="H181">
        <f t="shared" si="18"/>
        <v>1</v>
      </c>
      <c r="I181">
        <f t="shared" si="16"/>
        <v>0</v>
      </c>
      <c r="J181">
        <v>0</v>
      </c>
    </row>
    <row r="182" spans="1:10" x14ac:dyDescent="0.2">
      <c r="A182" t="s">
        <v>231</v>
      </c>
      <c r="B182">
        <v>2015</v>
      </c>
      <c r="C182">
        <v>1021</v>
      </c>
      <c r="D182" t="s">
        <v>34</v>
      </c>
      <c r="E182">
        <f t="shared" si="13"/>
        <v>1</v>
      </c>
      <c r="F182">
        <f t="shared" si="14"/>
        <v>0</v>
      </c>
      <c r="G182">
        <f t="shared" si="15"/>
        <v>0</v>
      </c>
      <c r="H182">
        <f t="shared" si="18"/>
        <v>0</v>
      </c>
      <c r="I182">
        <f t="shared" si="16"/>
        <v>0</v>
      </c>
      <c r="J182">
        <v>0</v>
      </c>
    </row>
    <row r="183" spans="1:10" x14ac:dyDescent="0.2">
      <c r="A183" t="s">
        <v>235</v>
      </c>
      <c r="B183">
        <v>2015</v>
      </c>
      <c r="C183">
        <v>1202</v>
      </c>
      <c r="D183" t="s">
        <v>34</v>
      </c>
      <c r="E183">
        <f t="shared" si="13"/>
        <v>1</v>
      </c>
      <c r="F183">
        <f t="shared" si="14"/>
        <v>0</v>
      </c>
      <c r="G183">
        <f t="shared" si="15"/>
        <v>0</v>
      </c>
      <c r="H183">
        <f t="shared" si="18"/>
        <v>0</v>
      </c>
      <c r="I183">
        <f t="shared" si="16"/>
        <v>0</v>
      </c>
      <c r="J183">
        <v>0</v>
      </c>
    </row>
    <row r="184" spans="1:10" x14ac:dyDescent="0.2">
      <c r="A184" t="s">
        <v>14</v>
      </c>
      <c r="B184">
        <v>2014</v>
      </c>
      <c r="C184">
        <v>12</v>
      </c>
      <c r="D184" t="s">
        <v>13</v>
      </c>
      <c r="E184">
        <f t="shared" si="13"/>
        <v>0</v>
      </c>
      <c r="F184">
        <f t="shared" si="14"/>
        <v>0</v>
      </c>
      <c r="G184">
        <f t="shared" si="15"/>
        <v>0</v>
      </c>
      <c r="H184">
        <f t="shared" si="18"/>
        <v>0</v>
      </c>
      <c r="I184">
        <f t="shared" si="16"/>
        <v>1</v>
      </c>
      <c r="J184">
        <v>0</v>
      </c>
    </row>
    <row r="185" spans="1:10" x14ac:dyDescent="0.2">
      <c r="A185" t="s">
        <v>15</v>
      </c>
      <c r="B185">
        <v>2014</v>
      </c>
      <c r="C185">
        <v>14</v>
      </c>
      <c r="D185" t="s">
        <v>16</v>
      </c>
      <c r="E185">
        <f t="shared" si="13"/>
        <v>0</v>
      </c>
      <c r="F185">
        <f t="shared" si="14"/>
        <v>0</v>
      </c>
      <c r="G185">
        <f t="shared" si="15"/>
        <v>0</v>
      </c>
      <c r="H185">
        <f t="shared" si="18"/>
        <v>1</v>
      </c>
      <c r="I185">
        <f t="shared" si="16"/>
        <v>0</v>
      </c>
      <c r="J185">
        <v>0</v>
      </c>
    </row>
    <row r="186" spans="1:10" x14ac:dyDescent="0.2">
      <c r="A186" t="s">
        <v>18</v>
      </c>
      <c r="B186">
        <v>2014</v>
      </c>
      <c r="C186">
        <v>34</v>
      </c>
      <c r="D186" t="s">
        <v>16</v>
      </c>
      <c r="E186">
        <f t="shared" si="13"/>
        <v>0</v>
      </c>
      <c r="F186">
        <f t="shared" si="14"/>
        <v>0</v>
      </c>
      <c r="G186">
        <f t="shared" si="15"/>
        <v>0</v>
      </c>
      <c r="H186">
        <f t="shared" si="18"/>
        <v>1</v>
      </c>
      <c r="I186">
        <f t="shared" si="16"/>
        <v>0</v>
      </c>
      <c r="J186">
        <v>0</v>
      </c>
    </row>
    <row r="187" spans="1:10" x14ac:dyDescent="0.2">
      <c r="A187" t="s">
        <v>21</v>
      </c>
      <c r="B187">
        <v>2014</v>
      </c>
      <c r="C187">
        <v>51</v>
      </c>
      <c r="D187" t="s">
        <v>22</v>
      </c>
      <c r="E187">
        <f t="shared" si="13"/>
        <v>1</v>
      </c>
      <c r="F187">
        <f t="shared" si="14"/>
        <v>0</v>
      </c>
      <c r="G187">
        <f t="shared" si="15"/>
        <v>0</v>
      </c>
      <c r="H187">
        <f t="shared" si="18"/>
        <v>0</v>
      </c>
      <c r="I187">
        <f t="shared" si="16"/>
        <v>0</v>
      </c>
      <c r="J187">
        <v>0</v>
      </c>
    </row>
    <row r="188" spans="1:10" x14ac:dyDescent="0.2">
      <c r="A188" t="s">
        <v>30</v>
      </c>
      <c r="B188">
        <v>2014</v>
      </c>
      <c r="C188">
        <v>87</v>
      </c>
      <c r="D188" t="s">
        <v>11</v>
      </c>
      <c r="E188">
        <f t="shared" si="13"/>
        <v>0</v>
      </c>
      <c r="F188">
        <f t="shared" si="14"/>
        <v>1</v>
      </c>
      <c r="G188">
        <f t="shared" si="15"/>
        <v>0</v>
      </c>
      <c r="H188">
        <f t="shared" si="18"/>
        <v>0</v>
      </c>
      <c r="I188">
        <f t="shared" si="16"/>
        <v>0</v>
      </c>
      <c r="J188">
        <v>0</v>
      </c>
    </row>
    <row r="189" spans="1:10" x14ac:dyDescent="0.2">
      <c r="A189" t="s">
        <v>32</v>
      </c>
      <c r="B189">
        <v>2014</v>
      </c>
      <c r="C189">
        <v>98</v>
      </c>
      <c r="D189" t="s">
        <v>16</v>
      </c>
      <c r="E189">
        <f t="shared" si="13"/>
        <v>0</v>
      </c>
      <c r="F189">
        <f t="shared" si="14"/>
        <v>0</v>
      </c>
      <c r="G189">
        <f t="shared" si="15"/>
        <v>0</v>
      </c>
      <c r="H189">
        <f t="shared" si="18"/>
        <v>1</v>
      </c>
      <c r="I189">
        <f t="shared" si="16"/>
        <v>0</v>
      </c>
      <c r="J189">
        <v>0</v>
      </c>
    </row>
    <row r="190" spans="1:10" x14ac:dyDescent="0.2">
      <c r="A190" t="s">
        <v>51</v>
      </c>
      <c r="B190">
        <v>2014</v>
      </c>
      <c r="C190">
        <v>129</v>
      </c>
      <c r="D190" t="s">
        <v>13</v>
      </c>
      <c r="E190">
        <f t="shared" si="13"/>
        <v>0</v>
      </c>
      <c r="F190">
        <f t="shared" si="14"/>
        <v>0</v>
      </c>
      <c r="G190">
        <f t="shared" si="15"/>
        <v>0</v>
      </c>
      <c r="H190">
        <f t="shared" si="18"/>
        <v>0</v>
      </c>
      <c r="I190">
        <f t="shared" si="16"/>
        <v>1</v>
      </c>
      <c r="J190">
        <v>0</v>
      </c>
    </row>
    <row r="191" spans="1:10" x14ac:dyDescent="0.2">
      <c r="A191" t="s">
        <v>56</v>
      </c>
      <c r="B191">
        <v>2014</v>
      </c>
      <c r="C191">
        <v>140</v>
      </c>
      <c r="D191" t="s">
        <v>13</v>
      </c>
      <c r="E191">
        <f t="shared" si="13"/>
        <v>0</v>
      </c>
      <c r="F191">
        <f t="shared" si="14"/>
        <v>0</v>
      </c>
      <c r="G191">
        <f t="shared" si="15"/>
        <v>0</v>
      </c>
      <c r="H191">
        <f t="shared" si="18"/>
        <v>0</v>
      </c>
      <c r="I191">
        <f t="shared" si="16"/>
        <v>1</v>
      </c>
      <c r="J191">
        <v>0</v>
      </c>
    </row>
    <row r="192" spans="1:10" x14ac:dyDescent="0.2">
      <c r="A192" t="s">
        <v>61</v>
      </c>
      <c r="B192">
        <v>2014</v>
      </c>
      <c r="C192">
        <v>154</v>
      </c>
      <c r="D192" t="s">
        <v>16</v>
      </c>
      <c r="E192">
        <f t="shared" si="13"/>
        <v>0</v>
      </c>
      <c r="F192">
        <f t="shared" si="14"/>
        <v>0</v>
      </c>
      <c r="G192">
        <f t="shared" si="15"/>
        <v>0</v>
      </c>
      <c r="H192">
        <f t="shared" si="18"/>
        <v>1</v>
      </c>
      <c r="I192">
        <f t="shared" si="16"/>
        <v>0</v>
      </c>
      <c r="J192">
        <v>0</v>
      </c>
    </row>
    <row r="193" spans="1:10" x14ac:dyDescent="0.2">
      <c r="A193" t="s">
        <v>62</v>
      </c>
      <c r="B193">
        <v>2014</v>
      </c>
      <c r="C193">
        <v>156</v>
      </c>
      <c r="D193" t="s">
        <v>16</v>
      </c>
      <c r="E193">
        <f t="shared" si="13"/>
        <v>0</v>
      </c>
      <c r="F193">
        <f t="shared" si="14"/>
        <v>0</v>
      </c>
      <c r="G193">
        <f t="shared" si="15"/>
        <v>0</v>
      </c>
      <c r="H193">
        <f t="shared" si="18"/>
        <v>1</v>
      </c>
      <c r="I193">
        <f t="shared" si="16"/>
        <v>0</v>
      </c>
      <c r="J193">
        <v>0</v>
      </c>
    </row>
    <row r="194" spans="1:10" x14ac:dyDescent="0.2">
      <c r="A194" t="s">
        <v>66</v>
      </c>
      <c r="B194">
        <v>2014</v>
      </c>
      <c r="C194">
        <v>181</v>
      </c>
      <c r="D194" t="s">
        <v>11</v>
      </c>
      <c r="E194">
        <f t="shared" ref="E194:E257" si="19">IF(OR(ISNUMBER(FIND("CrABS", D194)), ISNUMBER(FIND("CrULN", D194))), 1, 0)</f>
        <v>0</v>
      </c>
      <c r="F194">
        <f t="shared" ref="F194:F232" si="20">IF(ISNUMBER(FIND("CrCl", D194)), 1, 0)</f>
        <v>1</v>
      </c>
      <c r="G194">
        <f t="shared" ref="G194:G232" si="21">IF(ISNUMBER(FIND("eGFR", D194)), 1, 0)</f>
        <v>0</v>
      </c>
      <c r="H194">
        <f t="shared" si="18"/>
        <v>0</v>
      </c>
      <c r="I194">
        <f t="shared" ref="I194:I232" si="22">IF(ISNUMBER(FIND("n/a", D194)), 1, 0)</f>
        <v>0</v>
      </c>
      <c r="J194">
        <v>0</v>
      </c>
    </row>
    <row r="195" spans="1:10" x14ac:dyDescent="0.2">
      <c r="A195" t="s">
        <v>72</v>
      </c>
      <c r="B195">
        <v>2014</v>
      </c>
      <c r="C195">
        <v>202</v>
      </c>
      <c r="D195" t="s">
        <v>34</v>
      </c>
      <c r="E195">
        <f t="shared" si="19"/>
        <v>1</v>
      </c>
      <c r="F195">
        <f t="shared" si="20"/>
        <v>0</v>
      </c>
      <c r="G195">
        <f t="shared" si="21"/>
        <v>0</v>
      </c>
      <c r="H195">
        <f t="shared" si="18"/>
        <v>0</v>
      </c>
      <c r="I195">
        <f t="shared" si="22"/>
        <v>0</v>
      </c>
      <c r="J195">
        <v>0</v>
      </c>
    </row>
    <row r="196" spans="1:10" x14ac:dyDescent="0.2">
      <c r="A196" t="s">
        <v>74</v>
      </c>
      <c r="B196">
        <v>2014</v>
      </c>
      <c r="C196">
        <v>204</v>
      </c>
      <c r="D196" t="s">
        <v>16</v>
      </c>
      <c r="E196">
        <f t="shared" si="19"/>
        <v>0</v>
      </c>
      <c r="F196">
        <f t="shared" si="20"/>
        <v>0</v>
      </c>
      <c r="G196">
        <f t="shared" si="21"/>
        <v>0</v>
      </c>
      <c r="H196">
        <f t="shared" si="18"/>
        <v>1</v>
      </c>
      <c r="I196">
        <f t="shared" si="22"/>
        <v>0</v>
      </c>
      <c r="J196">
        <v>0</v>
      </c>
    </row>
    <row r="197" spans="1:10" x14ac:dyDescent="0.2">
      <c r="A197" t="s">
        <v>79</v>
      </c>
      <c r="B197">
        <v>2014</v>
      </c>
      <c r="C197">
        <v>229</v>
      </c>
      <c r="D197" t="s">
        <v>11</v>
      </c>
      <c r="E197">
        <f t="shared" si="19"/>
        <v>0</v>
      </c>
      <c r="F197">
        <f t="shared" si="20"/>
        <v>1</v>
      </c>
      <c r="G197">
        <f t="shared" si="21"/>
        <v>0</v>
      </c>
      <c r="H197">
        <f t="shared" si="18"/>
        <v>0</v>
      </c>
      <c r="I197">
        <f t="shared" si="22"/>
        <v>0</v>
      </c>
      <c r="J197">
        <v>0</v>
      </c>
    </row>
    <row r="198" spans="1:10" x14ac:dyDescent="0.2">
      <c r="A198" t="s">
        <v>96</v>
      </c>
      <c r="B198">
        <v>2014</v>
      </c>
      <c r="C198">
        <v>305</v>
      </c>
      <c r="D198" t="s">
        <v>16</v>
      </c>
      <c r="E198">
        <f t="shared" si="19"/>
        <v>0</v>
      </c>
      <c r="F198">
        <f t="shared" si="20"/>
        <v>0</v>
      </c>
      <c r="G198">
        <f t="shared" si="21"/>
        <v>0</v>
      </c>
      <c r="H198">
        <f t="shared" si="18"/>
        <v>1</v>
      </c>
      <c r="I198">
        <f t="shared" si="22"/>
        <v>0</v>
      </c>
      <c r="J198">
        <v>0</v>
      </c>
    </row>
    <row r="199" spans="1:10" x14ac:dyDescent="0.2">
      <c r="A199" t="s">
        <v>102</v>
      </c>
      <c r="B199">
        <v>2014</v>
      </c>
      <c r="C199">
        <v>330</v>
      </c>
      <c r="D199" t="s">
        <v>11</v>
      </c>
      <c r="E199">
        <f t="shared" si="19"/>
        <v>0</v>
      </c>
      <c r="F199">
        <f t="shared" si="20"/>
        <v>1</v>
      </c>
      <c r="G199">
        <f t="shared" si="21"/>
        <v>0</v>
      </c>
      <c r="H199">
        <f t="shared" si="18"/>
        <v>0</v>
      </c>
      <c r="I199">
        <f t="shared" si="22"/>
        <v>0</v>
      </c>
      <c r="J199">
        <v>0</v>
      </c>
    </row>
    <row r="200" spans="1:10" x14ac:dyDescent="0.2">
      <c r="A200" t="s">
        <v>111</v>
      </c>
      <c r="B200">
        <v>2014</v>
      </c>
      <c r="C200">
        <v>361</v>
      </c>
      <c r="D200" t="s">
        <v>16</v>
      </c>
      <c r="E200">
        <f t="shared" si="19"/>
        <v>0</v>
      </c>
      <c r="F200">
        <f t="shared" si="20"/>
        <v>0</v>
      </c>
      <c r="G200">
        <f t="shared" si="21"/>
        <v>0</v>
      </c>
      <c r="H200">
        <f t="shared" si="18"/>
        <v>1</v>
      </c>
      <c r="I200">
        <f t="shared" si="22"/>
        <v>0</v>
      </c>
      <c r="J200">
        <v>0</v>
      </c>
    </row>
    <row r="201" spans="1:10" x14ac:dyDescent="0.2">
      <c r="A201" t="s">
        <v>115</v>
      </c>
      <c r="B201">
        <v>2014</v>
      </c>
      <c r="C201">
        <v>367</v>
      </c>
      <c r="D201" t="s">
        <v>16</v>
      </c>
      <c r="E201">
        <f t="shared" si="19"/>
        <v>0</v>
      </c>
      <c r="F201">
        <f t="shared" si="20"/>
        <v>0</v>
      </c>
      <c r="G201">
        <f t="shared" si="21"/>
        <v>0</v>
      </c>
      <c r="H201">
        <f t="shared" si="18"/>
        <v>1</v>
      </c>
      <c r="I201">
        <f t="shared" si="22"/>
        <v>0</v>
      </c>
      <c r="J201">
        <v>0</v>
      </c>
    </row>
    <row r="202" spans="1:10" x14ac:dyDescent="0.2">
      <c r="A202" t="s">
        <v>120</v>
      </c>
      <c r="B202">
        <v>2014</v>
      </c>
      <c r="C202">
        <v>389</v>
      </c>
      <c r="D202" t="s">
        <v>11</v>
      </c>
      <c r="E202">
        <f t="shared" si="19"/>
        <v>0</v>
      </c>
      <c r="F202">
        <f t="shared" si="20"/>
        <v>1</v>
      </c>
      <c r="G202">
        <f t="shared" si="21"/>
        <v>0</v>
      </c>
      <c r="H202">
        <f t="shared" si="18"/>
        <v>0</v>
      </c>
      <c r="I202">
        <f t="shared" si="22"/>
        <v>0</v>
      </c>
      <c r="J202">
        <v>0</v>
      </c>
    </row>
    <row r="203" spans="1:10" x14ac:dyDescent="0.2">
      <c r="A203" t="s">
        <v>121</v>
      </c>
      <c r="B203">
        <v>2014</v>
      </c>
      <c r="C203">
        <v>394</v>
      </c>
      <c r="D203" t="s">
        <v>13</v>
      </c>
      <c r="E203">
        <f t="shared" si="19"/>
        <v>0</v>
      </c>
      <c r="F203">
        <f t="shared" si="20"/>
        <v>0</v>
      </c>
      <c r="G203">
        <f t="shared" si="21"/>
        <v>0</v>
      </c>
      <c r="H203">
        <f t="shared" si="18"/>
        <v>0</v>
      </c>
      <c r="I203">
        <f t="shared" si="22"/>
        <v>1</v>
      </c>
      <c r="J203">
        <v>0</v>
      </c>
    </row>
    <row r="204" spans="1:10" x14ac:dyDescent="0.2">
      <c r="A204" t="s">
        <v>124</v>
      </c>
      <c r="B204">
        <v>2014</v>
      </c>
      <c r="C204">
        <v>403</v>
      </c>
      <c r="D204" t="s">
        <v>16</v>
      </c>
      <c r="E204">
        <f t="shared" si="19"/>
        <v>0</v>
      </c>
      <c r="F204">
        <f t="shared" si="20"/>
        <v>0</v>
      </c>
      <c r="G204">
        <f t="shared" si="21"/>
        <v>0</v>
      </c>
      <c r="H204">
        <f t="shared" si="18"/>
        <v>1</v>
      </c>
      <c r="I204">
        <f t="shared" si="22"/>
        <v>0</v>
      </c>
      <c r="J204">
        <v>0</v>
      </c>
    </row>
    <row r="205" spans="1:10" x14ac:dyDescent="0.2">
      <c r="A205" t="s">
        <v>134</v>
      </c>
      <c r="B205">
        <v>2014</v>
      </c>
      <c r="C205">
        <v>444</v>
      </c>
      <c r="D205" t="s">
        <v>34</v>
      </c>
      <c r="E205">
        <f t="shared" si="19"/>
        <v>1</v>
      </c>
      <c r="F205">
        <f t="shared" si="20"/>
        <v>0</v>
      </c>
      <c r="G205">
        <f t="shared" si="21"/>
        <v>0</v>
      </c>
      <c r="H205">
        <f t="shared" si="18"/>
        <v>0</v>
      </c>
      <c r="I205">
        <f t="shared" si="22"/>
        <v>0</v>
      </c>
      <c r="J205">
        <v>0</v>
      </c>
    </row>
    <row r="206" spans="1:10" x14ac:dyDescent="0.2">
      <c r="A206" t="s">
        <v>139</v>
      </c>
      <c r="B206">
        <v>2014</v>
      </c>
      <c r="C206">
        <v>459</v>
      </c>
      <c r="D206" t="s">
        <v>11</v>
      </c>
      <c r="E206">
        <f t="shared" si="19"/>
        <v>0</v>
      </c>
      <c r="F206">
        <f t="shared" si="20"/>
        <v>1</v>
      </c>
      <c r="G206">
        <f t="shared" si="21"/>
        <v>0</v>
      </c>
      <c r="H206">
        <f t="shared" ref="H206:H232" si="23">IF(ISNUMBER(FIND("Heterogeneous", D206)), 1, 0)</f>
        <v>0</v>
      </c>
      <c r="I206">
        <f t="shared" si="22"/>
        <v>0</v>
      </c>
      <c r="J206">
        <v>0</v>
      </c>
    </row>
    <row r="207" spans="1:10" x14ac:dyDescent="0.2">
      <c r="A207" t="s">
        <v>148</v>
      </c>
      <c r="B207">
        <v>2014</v>
      </c>
      <c r="C207">
        <v>495</v>
      </c>
      <c r="D207" t="s">
        <v>16</v>
      </c>
      <c r="E207">
        <f t="shared" si="19"/>
        <v>0</v>
      </c>
      <c r="F207">
        <f t="shared" si="20"/>
        <v>0</v>
      </c>
      <c r="G207">
        <f t="shared" si="21"/>
        <v>0</v>
      </c>
      <c r="H207">
        <f t="shared" si="23"/>
        <v>1</v>
      </c>
      <c r="I207">
        <f t="shared" si="22"/>
        <v>0</v>
      </c>
      <c r="J207">
        <v>0</v>
      </c>
    </row>
    <row r="208" spans="1:10" x14ac:dyDescent="0.2">
      <c r="A208" t="s">
        <v>160</v>
      </c>
      <c r="B208">
        <v>2014</v>
      </c>
      <c r="C208">
        <v>536</v>
      </c>
      <c r="D208" t="s">
        <v>34</v>
      </c>
      <c r="E208">
        <f t="shared" si="19"/>
        <v>1</v>
      </c>
      <c r="F208">
        <f t="shared" si="20"/>
        <v>0</v>
      </c>
      <c r="G208">
        <f t="shared" si="21"/>
        <v>0</v>
      </c>
      <c r="H208">
        <f t="shared" si="23"/>
        <v>0</v>
      </c>
      <c r="I208">
        <f t="shared" si="22"/>
        <v>0</v>
      </c>
      <c r="J208">
        <v>0</v>
      </c>
    </row>
    <row r="209" spans="1:10" x14ac:dyDescent="0.2">
      <c r="A209" t="s">
        <v>161</v>
      </c>
      <c r="B209">
        <v>2014</v>
      </c>
      <c r="C209">
        <v>541</v>
      </c>
      <c r="D209" t="s">
        <v>13</v>
      </c>
      <c r="E209">
        <f t="shared" si="19"/>
        <v>0</v>
      </c>
      <c r="F209">
        <f t="shared" si="20"/>
        <v>0</v>
      </c>
      <c r="G209">
        <f t="shared" si="21"/>
        <v>0</v>
      </c>
      <c r="H209">
        <f t="shared" si="23"/>
        <v>0</v>
      </c>
      <c r="I209">
        <f t="shared" si="22"/>
        <v>1</v>
      </c>
      <c r="J209">
        <v>0</v>
      </c>
    </row>
    <row r="210" spans="1:10" x14ac:dyDescent="0.2">
      <c r="A210" t="s">
        <v>162</v>
      </c>
      <c r="B210">
        <v>2014</v>
      </c>
      <c r="C210">
        <v>542</v>
      </c>
      <c r="D210" t="s">
        <v>16</v>
      </c>
      <c r="E210">
        <f t="shared" si="19"/>
        <v>0</v>
      </c>
      <c r="F210">
        <f t="shared" si="20"/>
        <v>0</v>
      </c>
      <c r="G210">
        <f t="shared" si="21"/>
        <v>0</v>
      </c>
      <c r="H210">
        <f t="shared" si="23"/>
        <v>1</v>
      </c>
      <c r="I210">
        <f t="shared" si="22"/>
        <v>0</v>
      </c>
      <c r="J210">
        <v>0</v>
      </c>
    </row>
    <row r="211" spans="1:10" x14ac:dyDescent="0.2">
      <c r="A211" t="s">
        <v>165</v>
      </c>
      <c r="B211">
        <v>2014</v>
      </c>
      <c r="C211">
        <v>562</v>
      </c>
      <c r="D211" t="s">
        <v>13</v>
      </c>
      <c r="E211">
        <f t="shared" si="19"/>
        <v>0</v>
      </c>
      <c r="F211">
        <f t="shared" si="20"/>
        <v>0</v>
      </c>
      <c r="G211">
        <f t="shared" si="21"/>
        <v>0</v>
      </c>
      <c r="H211">
        <f t="shared" si="23"/>
        <v>0</v>
      </c>
      <c r="I211">
        <f t="shared" si="22"/>
        <v>1</v>
      </c>
      <c r="J211">
        <v>0</v>
      </c>
    </row>
    <row r="212" spans="1:10" x14ac:dyDescent="0.2">
      <c r="A212" t="s">
        <v>166</v>
      </c>
      <c r="B212">
        <v>2014</v>
      </c>
      <c r="C212">
        <v>564</v>
      </c>
      <c r="D212" t="s">
        <v>16</v>
      </c>
      <c r="E212">
        <f t="shared" si="19"/>
        <v>0</v>
      </c>
      <c r="F212">
        <f t="shared" si="20"/>
        <v>0</v>
      </c>
      <c r="G212">
        <f t="shared" si="21"/>
        <v>0</v>
      </c>
      <c r="H212">
        <f t="shared" si="23"/>
        <v>1</v>
      </c>
      <c r="I212">
        <f t="shared" si="22"/>
        <v>0</v>
      </c>
      <c r="J212">
        <v>0</v>
      </c>
    </row>
    <row r="213" spans="1:10" x14ac:dyDescent="0.2">
      <c r="A213" t="s">
        <v>176</v>
      </c>
      <c r="B213">
        <v>2014</v>
      </c>
      <c r="C213">
        <v>595</v>
      </c>
      <c r="D213" t="s">
        <v>11</v>
      </c>
      <c r="E213">
        <f t="shared" si="19"/>
        <v>0</v>
      </c>
      <c r="F213">
        <f t="shared" si="20"/>
        <v>1</v>
      </c>
      <c r="G213">
        <f t="shared" si="21"/>
        <v>0</v>
      </c>
      <c r="H213">
        <f t="shared" si="23"/>
        <v>0</v>
      </c>
      <c r="I213">
        <f t="shared" si="22"/>
        <v>0</v>
      </c>
      <c r="J213">
        <v>0</v>
      </c>
    </row>
    <row r="214" spans="1:10" x14ac:dyDescent="0.2">
      <c r="A214" t="s">
        <v>192</v>
      </c>
      <c r="B214">
        <v>2014</v>
      </c>
      <c r="C214">
        <v>672</v>
      </c>
      <c r="D214" t="s">
        <v>34</v>
      </c>
      <c r="E214">
        <f t="shared" si="19"/>
        <v>1</v>
      </c>
      <c r="F214">
        <f t="shared" si="20"/>
        <v>0</v>
      </c>
      <c r="G214">
        <f t="shared" si="21"/>
        <v>0</v>
      </c>
      <c r="H214">
        <f t="shared" si="23"/>
        <v>0</v>
      </c>
      <c r="I214">
        <f t="shared" si="22"/>
        <v>0</v>
      </c>
      <c r="J214">
        <v>0</v>
      </c>
    </row>
    <row r="215" spans="1:10" x14ac:dyDescent="0.2">
      <c r="A215" t="s">
        <v>193</v>
      </c>
      <c r="B215">
        <v>2014</v>
      </c>
      <c r="C215">
        <v>681</v>
      </c>
      <c r="D215" t="s">
        <v>11</v>
      </c>
      <c r="E215">
        <f t="shared" si="19"/>
        <v>0</v>
      </c>
      <c r="F215">
        <f t="shared" si="20"/>
        <v>1</v>
      </c>
      <c r="G215">
        <f t="shared" si="21"/>
        <v>0</v>
      </c>
      <c r="H215">
        <f t="shared" si="23"/>
        <v>0</v>
      </c>
      <c r="I215">
        <f t="shared" si="22"/>
        <v>0</v>
      </c>
      <c r="J215">
        <v>0</v>
      </c>
    </row>
    <row r="216" spans="1:10" x14ac:dyDescent="0.2">
      <c r="A216" t="s">
        <v>198</v>
      </c>
      <c r="B216">
        <v>2014</v>
      </c>
      <c r="C216">
        <v>702</v>
      </c>
      <c r="D216" t="s">
        <v>34</v>
      </c>
      <c r="E216">
        <f t="shared" si="19"/>
        <v>1</v>
      </c>
      <c r="F216">
        <f t="shared" si="20"/>
        <v>0</v>
      </c>
      <c r="G216">
        <f t="shared" si="21"/>
        <v>0</v>
      </c>
      <c r="H216">
        <f t="shared" si="23"/>
        <v>0</v>
      </c>
      <c r="I216">
        <f t="shared" si="22"/>
        <v>0</v>
      </c>
      <c r="J216">
        <v>0</v>
      </c>
    </row>
    <row r="217" spans="1:10" x14ac:dyDescent="0.2">
      <c r="A217" t="s">
        <v>201</v>
      </c>
      <c r="B217">
        <v>2014</v>
      </c>
      <c r="C217">
        <v>714</v>
      </c>
      <c r="D217" t="s">
        <v>16</v>
      </c>
      <c r="E217">
        <f t="shared" si="19"/>
        <v>0</v>
      </c>
      <c r="F217">
        <f t="shared" si="20"/>
        <v>0</v>
      </c>
      <c r="G217">
        <f t="shared" si="21"/>
        <v>0</v>
      </c>
      <c r="H217">
        <f t="shared" si="23"/>
        <v>1</v>
      </c>
      <c r="I217">
        <f t="shared" si="22"/>
        <v>0</v>
      </c>
      <c r="J217">
        <v>0</v>
      </c>
    </row>
    <row r="218" spans="1:10" x14ac:dyDescent="0.2">
      <c r="A218" t="s">
        <v>210</v>
      </c>
      <c r="B218">
        <v>2014</v>
      </c>
      <c r="C218">
        <v>768</v>
      </c>
      <c r="D218" t="s">
        <v>13</v>
      </c>
      <c r="E218">
        <f t="shared" si="19"/>
        <v>0</v>
      </c>
      <c r="F218">
        <f t="shared" si="20"/>
        <v>0</v>
      </c>
      <c r="G218">
        <f t="shared" si="21"/>
        <v>0</v>
      </c>
      <c r="H218">
        <f t="shared" si="23"/>
        <v>0</v>
      </c>
      <c r="I218">
        <f t="shared" si="22"/>
        <v>1</v>
      </c>
      <c r="J218">
        <v>0</v>
      </c>
    </row>
    <row r="219" spans="1:10" x14ac:dyDescent="0.2">
      <c r="A219" t="s">
        <v>220</v>
      </c>
      <c r="B219">
        <v>2014</v>
      </c>
      <c r="C219">
        <v>866</v>
      </c>
      <c r="D219" t="s">
        <v>11</v>
      </c>
      <c r="E219">
        <f t="shared" si="19"/>
        <v>0</v>
      </c>
      <c r="F219">
        <f t="shared" si="20"/>
        <v>1</v>
      </c>
      <c r="G219">
        <f t="shared" si="21"/>
        <v>0</v>
      </c>
      <c r="H219">
        <f t="shared" si="23"/>
        <v>0</v>
      </c>
      <c r="I219">
        <f t="shared" si="22"/>
        <v>0</v>
      </c>
      <c r="J219">
        <v>0</v>
      </c>
    </row>
    <row r="220" spans="1:10" x14ac:dyDescent="0.2">
      <c r="A220" t="s">
        <v>222</v>
      </c>
      <c r="B220">
        <v>2014</v>
      </c>
      <c r="C220">
        <v>875</v>
      </c>
      <c r="D220" t="s">
        <v>34</v>
      </c>
      <c r="E220">
        <f t="shared" si="19"/>
        <v>1</v>
      </c>
      <c r="F220">
        <f t="shared" si="20"/>
        <v>0</v>
      </c>
      <c r="G220">
        <f t="shared" si="21"/>
        <v>0</v>
      </c>
      <c r="H220">
        <f t="shared" si="23"/>
        <v>0</v>
      </c>
      <c r="I220">
        <f t="shared" si="22"/>
        <v>0</v>
      </c>
      <c r="J220">
        <v>0</v>
      </c>
    </row>
    <row r="221" spans="1:10" x14ac:dyDescent="0.2">
      <c r="A221" t="s">
        <v>234</v>
      </c>
      <c r="B221">
        <v>2014</v>
      </c>
      <c r="C221">
        <v>1182</v>
      </c>
      <c r="D221" t="s">
        <v>34</v>
      </c>
      <c r="E221">
        <f t="shared" si="19"/>
        <v>1</v>
      </c>
      <c r="F221">
        <f t="shared" si="20"/>
        <v>0</v>
      </c>
      <c r="G221">
        <f t="shared" si="21"/>
        <v>0</v>
      </c>
      <c r="H221">
        <f t="shared" si="23"/>
        <v>0</v>
      </c>
      <c r="I221">
        <f t="shared" si="22"/>
        <v>0</v>
      </c>
      <c r="J221">
        <v>0</v>
      </c>
    </row>
    <row r="222" spans="1:10" x14ac:dyDescent="0.2">
      <c r="A222" t="s">
        <v>236</v>
      </c>
      <c r="B222">
        <v>2014</v>
      </c>
      <c r="C222">
        <v>1225</v>
      </c>
      <c r="D222" t="s">
        <v>13</v>
      </c>
      <c r="E222">
        <f t="shared" si="19"/>
        <v>0</v>
      </c>
      <c r="F222">
        <f t="shared" si="20"/>
        <v>0</v>
      </c>
      <c r="G222">
        <f t="shared" si="21"/>
        <v>0</v>
      </c>
      <c r="H222">
        <f t="shared" si="23"/>
        <v>0</v>
      </c>
      <c r="I222">
        <f t="shared" si="22"/>
        <v>1</v>
      </c>
      <c r="J222">
        <v>0</v>
      </c>
    </row>
    <row r="223" spans="1:10" x14ac:dyDescent="0.2">
      <c r="A223" t="s">
        <v>238</v>
      </c>
      <c r="B223">
        <v>2014</v>
      </c>
      <c r="C223">
        <v>1274</v>
      </c>
      <c r="D223" t="s">
        <v>11</v>
      </c>
      <c r="E223">
        <f t="shared" si="19"/>
        <v>0</v>
      </c>
      <c r="F223">
        <f t="shared" si="20"/>
        <v>1</v>
      </c>
      <c r="G223">
        <f t="shared" si="21"/>
        <v>0</v>
      </c>
      <c r="H223">
        <f t="shared" si="23"/>
        <v>0</v>
      </c>
      <c r="I223">
        <f t="shared" si="22"/>
        <v>0</v>
      </c>
      <c r="J223">
        <v>0</v>
      </c>
    </row>
    <row r="224" spans="1:10" x14ac:dyDescent="0.2">
      <c r="A224" t="s">
        <v>241</v>
      </c>
      <c r="B224">
        <v>2014</v>
      </c>
      <c r="C224">
        <v>1428</v>
      </c>
      <c r="D224" t="s">
        <v>16</v>
      </c>
      <c r="E224">
        <f t="shared" si="19"/>
        <v>0</v>
      </c>
      <c r="F224">
        <f t="shared" si="20"/>
        <v>0</v>
      </c>
      <c r="G224">
        <f t="shared" si="21"/>
        <v>0</v>
      </c>
      <c r="H224">
        <f t="shared" si="23"/>
        <v>1</v>
      </c>
      <c r="I224">
        <f t="shared" si="22"/>
        <v>0</v>
      </c>
      <c r="J224">
        <v>0</v>
      </c>
    </row>
    <row r="225" spans="1:10" x14ac:dyDescent="0.2">
      <c r="A225" t="s">
        <v>242</v>
      </c>
      <c r="B225">
        <v>2014</v>
      </c>
      <c r="C225">
        <v>1509</v>
      </c>
      <c r="D225" t="s">
        <v>34</v>
      </c>
      <c r="E225">
        <f t="shared" si="19"/>
        <v>1</v>
      </c>
      <c r="F225">
        <f t="shared" si="20"/>
        <v>0</v>
      </c>
      <c r="G225">
        <f t="shared" si="21"/>
        <v>0</v>
      </c>
      <c r="H225">
        <f t="shared" si="23"/>
        <v>0</v>
      </c>
      <c r="I225">
        <f t="shared" si="22"/>
        <v>0</v>
      </c>
      <c r="J225">
        <v>0</v>
      </c>
    </row>
    <row r="226" spans="1:10" x14ac:dyDescent="0.2">
      <c r="A226" t="s">
        <v>244</v>
      </c>
      <c r="B226">
        <v>2014</v>
      </c>
      <c r="C226">
        <v>1846</v>
      </c>
      <c r="D226" t="s">
        <v>34</v>
      </c>
      <c r="E226">
        <f t="shared" si="19"/>
        <v>1</v>
      </c>
      <c r="F226">
        <f t="shared" si="20"/>
        <v>0</v>
      </c>
      <c r="G226">
        <f t="shared" si="21"/>
        <v>0</v>
      </c>
      <c r="H226">
        <f t="shared" si="23"/>
        <v>0</v>
      </c>
      <c r="I226">
        <f t="shared" si="22"/>
        <v>0</v>
      </c>
      <c r="J226">
        <v>0</v>
      </c>
    </row>
    <row r="227" spans="1:10" x14ac:dyDescent="0.2">
      <c r="A227" t="s">
        <v>33</v>
      </c>
      <c r="B227">
        <v>2013</v>
      </c>
      <c r="C227">
        <v>99</v>
      </c>
      <c r="D227" t="s">
        <v>34</v>
      </c>
      <c r="E227">
        <f t="shared" si="19"/>
        <v>1</v>
      </c>
      <c r="F227">
        <f t="shared" si="20"/>
        <v>0</v>
      </c>
      <c r="G227">
        <f t="shared" si="21"/>
        <v>0</v>
      </c>
      <c r="H227">
        <f t="shared" si="23"/>
        <v>0</v>
      </c>
      <c r="I227">
        <f t="shared" si="22"/>
        <v>0</v>
      </c>
      <c r="J227">
        <v>0</v>
      </c>
    </row>
    <row r="228" spans="1:10" x14ac:dyDescent="0.2">
      <c r="A228" t="s">
        <v>36</v>
      </c>
      <c r="B228">
        <v>2013</v>
      </c>
      <c r="C228">
        <v>102</v>
      </c>
      <c r="D228" t="s">
        <v>16</v>
      </c>
      <c r="E228">
        <f t="shared" si="19"/>
        <v>0</v>
      </c>
      <c r="F228">
        <f t="shared" si="20"/>
        <v>0</v>
      </c>
      <c r="G228">
        <f t="shared" si="21"/>
        <v>0</v>
      </c>
      <c r="H228">
        <f t="shared" si="23"/>
        <v>1</v>
      </c>
      <c r="I228">
        <f t="shared" si="22"/>
        <v>0</v>
      </c>
      <c r="J228">
        <v>0</v>
      </c>
    </row>
    <row r="229" spans="1:10" x14ac:dyDescent="0.2">
      <c r="A229" t="s">
        <v>55</v>
      </c>
      <c r="B229">
        <v>2013</v>
      </c>
      <c r="C229">
        <v>140</v>
      </c>
      <c r="D229" t="s">
        <v>16</v>
      </c>
      <c r="E229">
        <f t="shared" si="19"/>
        <v>0</v>
      </c>
      <c r="F229">
        <f t="shared" si="20"/>
        <v>0</v>
      </c>
      <c r="G229">
        <f t="shared" si="21"/>
        <v>0</v>
      </c>
      <c r="H229">
        <f t="shared" si="23"/>
        <v>1</v>
      </c>
      <c r="I229">
        <f t="shared" si="22"/>
        <v>0</v>
      </c>
      <c r="J229">
        <v>0</v>
      </c>
    </row>
    <row r="230" spans="1:10" x14ac:dyDescent="0.2">
      <c r="A230" t="s">
        <v>81</v>
      </c>
      <c r="B230">
        <v>2013</v>
      </c>
      <c r="C230">
        <v>240</v>
      </c>
      <c r="D230" t="s">
        <v>34</v>
      </c>
      <c r="E230">
        <f t="shared" si="19"/>
        <v>1</v>
      </c>
      <c r="F230">
        <f t="shared" si="20"/>
        <v>0</v>
      </c>
      <c r="G230">
        <f t="shared" si="21"/>
        <v>0</v>
      </c>
      <c r="H230">
        <f t="shared" si="23"/>
        <v>0</v>
      </c>
      <c r="I230">
        <f t="shared" si="22"/>
        <v>0</v>
      </c>
      <c r="J230">
        <v>0</v>
      </c>
    </row>
    <row r="231" spans="1:10" x14ac:dyDescent="0.2">
      <c r="A231" t="s">
        <v>109</v>
      </c>
      <c r="B231">
        <v>2013</v>
      </c>
      <c r="C231">
        <v>358</v>
      </c>
      <c r="D231" t="s">
        <v>11</v>
      </c>
      <c r="E231">
        <f t="shared" si="19"/>
        <v>0</v>
      </c>
      <c r="F231">
        <f t="shared" si="20"/>
        <v>1</v>
      </c>
      <c r="G231">
        <f t="shared" si="21"/>
        <v>0</v>
      </c>
      <c r="H231">
        <f t="shared" si="23"/>
        <v>0</v>
      </c>
      <c r="I231">
        <f t="shared" si="22"/>
        <v>0</v>
      </c>
      <c r="J231">
        <v>0</v>
      </c>
    </row>
    <row r="232" spans="1:10" x14ac:dyDescent="0.2">
      <c r="A232" t="s">
        <v>190</v>
      </c>
      <c r="B232">
        <v>2013</v>
      </c>
      <c r="C232">
        <v>668</v>
      </c>
      <c r="D232" t="s">
        <v>13</v>
      </c>
      <c r="E232">
        <f t="shared" si="19"/>
        <v>0</v>
      </c>
      <c r="F232">
        <f t="shared" si="20"/>
        <v>0</v>
      </c>
      <c r="G232">
        <f t="shared" si="21"/>
        <v>0</v>
      </c>
      <c r="H232">
        <f t="shared" si="23"/>
        <v>0</v>
      </c>
      <c r="I232">
        <f t="shared" si="22"/>
        <v>1</v>
      </c>
      <c r="J232">
        <v>0</v>
      </c>
    </row>
  </sheetData>
  <autoFilter ref="A1:J232" xr:uid="{845FAEF9-11B8-C14C-AB1B-899963DADB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AA33-C693-494E-ABB5-A08F5C642E52}">
  <dimension ref="A1:J232"/>
  <sheetViews>
    <sheetView workbookViewId="0">
      <selection sqref="A1:XFD1048576"/>
    </sheetView>
  </sheetViews>
  <sheetFormatPr baseColWidth="10" defaultRowHeight="16" x14ac:dyDescent="0.2"/>
  <cols>
    <col min="2" max="2" width="8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2017</v>
      </c>
      <c r="C2">
        <v>10</v>
      </c>
      <c r="D2" t="s">
        <v>11</v>
      </c>
      <c r="E2">
        <f>IF(OR(ISNUMBER(FIND("CrABS", D2)), ISNUMBER(FIND("CrULN", D2))), 1, 0)</f>
        <v>0</v>
      </c>
      <c r="F2">
        <f>IF(ISNUMBER(FIND("CrCl", D2)), 1, 0)</f>
        <v>1</v>
      </c>
      <c r="G2">
        <f>IF(ISNUMBER(FIND("CrULN", D2)), 1, 0)</f>
        <v>0</v>
      </c>
      <c r="H2">
        <f>IF(ISNUMBER(FIND("eGFR", D2)), 1, 0)</f>
        <v>0</v>
      </c>
      <c r="I2">
        <f>IF(ISNUMBER(FIND("Heterogeneous", D2)), 1, 0)</f>
        <v>0</v>
      </c>
      <c r="J2">
        <f>IF(ISNUMBER(FIND("n/a", D2)), 1, 0)</f>
        <v>0</v>
      </c>
    </row>
    <row r="3" spans="1:10" x14ac:dyDescent="0.2">
      <c r="A3" t="s">
        <v>12</v>
      </c>
      <c r="B3">
        <v>2016</v>
      </c>
      <c r="C3">
        <v>11</v>
      </c>
      <c r="D3" t="s">
        <v>11</v>
      </c>
      <c r="E3">
        <f t="shared" ref="E3:E66" si="0">IF(OR(ISNUMBER(FIND("CrABS", D3)), ISNUMBER(FIND("CrULN", D3))), 1, 0)</f>
        <v>0</v>
      </c>
      <c r="F3">
        <f t="shared" ref="F3:F66" si="1">IF(ISNUMBER(FIND("CrCl", D3)), 1, 0)</f>
        <v>1</v>
      </c>
      <c r="G3">
        <f t="shared" ref="G3:G66" si="2">IF(ISNUMBER(FIND("CrULN", D3)), 1, 0)</f>
        <v>0</v>
      </c>
      <c r="H3">
        <f t="shared" ref="H3:H66" si="3">IF(ISNUMBER(FIND("eGFR", D3)), 1, 0)</f>
        <v>0</v>
      </c>
      <c r="I3">
        <f t="shared" ref="I3:I66" si="4">IF(ISNUMBER(FIND("Heterogeneous", D3)), 1, 0)</f>
        <v>0</v>
      </c>
      <c r="J3">
        <f t="shared" ref="J3:J66" si="5">IF(ISNUMBER(FIND("n/a", D3)), 1, 0)</f>
        <v>0</v>
      </c>
    </row>
    <row r="4" spans="1:10" x14ac:dyDescent="0.2">
      <c r="A4" t="s">
        <v>14</v>
      </c>
      <c r="B4">
        <v>2014</v>
      </c>
      <c r="C4">
        <v>12</v>
      </c>
      <c r="D4" t="s">
        <v>13</v>
      </c>
      <c r="E4">
        <f t="shared" si="0"/>
        <v>0</v>
      </c>
      <c r="F4">
        <f t="shared" si="1"/>
        <v>0</v>
      </c>
      <c r="G4">
        <f t="shared" si="2"/>
        <v>0</v>
      </c>
      <c r="H4">
        <f t="shared" si="3"/>
        <v>0</v>
      </c>
      <c r="I4">
        <f t="shared" si="4"/>
        <v>0</v>
      </c>
      <c r="J4">
        <f t="shared" si="5"/>
        <v>1</v>
      </c>
    </row>
    <row r="5" spans="1:10" x14ac:dyDescent="0.2">
      <c r="A5" t="s">
        <v>15</v>
      </c>
      <c r="B5">
        <v>2014</v>
      </c>
      <c r="C5">
        <v>14</v>
      </c>
      <c r="D5" t="s">
        <v>16</v>
      </c>
      <c r="E5">
        <f t="shared" si="0"/>
        <v>0</v>
      </c>
      <c r="F5">
        <f t="shared" si="1"/>
        <v>0</v>
      </c>
      <c r="G5">
        <f t="shared" si="2"/>
        <v>0</v>
      </c>
      <c r="H5">
        <f t="shared" si="3"/>
        <v>0</v>
      </c>
      <c r="I5">
        <f t="shared" si="4"/>
        <v>1</v>
      </c>
      <c r="J5">
        <f t="shared" si="5"/>
        <v>0</v>
      </c>
    </row>
    <row r="6" spans="1:10" x14ac:dyDescent="0.2">
      <c r="A6" t="s">
        <v>17</v>
      </c>
      <c r="B6">
        <v>2017</v>
      </c>
      <c r="C6">
        <v>20</v>
      </c>
      <c r="D6" t="s">
        <v>16</v>
      </c>
      <c r="E6">
        <f t="shared" si="0"/>
        <v>0</v>
      </c>
      <c r="F6">
        <f t="shared" si="1"/>
        <v>0</v>
      </c>
      <c r="G6">
        <f t="shared" si="2"/>
        <v>0</v>
      </c>
      <c r="H6">
        <f t="shared" si="3"/>
        <v>0</v>
      </c>
      <c r="I6">
        <f t="shared" si="4"/>
        <v>1</v>
      </c>
      <c r="J6">
        <f t="shared" si="5"/>
        <v>0</v>
      </c>
    </row>
    <row r="7" spans="1:10" x14ac:dyDescent="0.2">
      <c r="A7" t="s">
        <v>18</v>
      </c>
      <c r="B7">
        <v>2014</v>
      </c>
      <c r="C7">
        <v>34</v>
      </c>
      <c r="D7" t="s">
        <v>16</v>
      </c>
      <c r="E7">
        <f t="shared" si="0"/>
        <v>0</v>
      </c>
      <c r="F7">
        <f t="shared" si="1"/>
        <v>0</v>
      </c>
      <c r="G7">
        <f t="shared" si="2"/>
        <v>0</v>
      </c>
      <c r="H7">
        <f t="shared" si="3"/>
        <v>0</v>
      </c>
      <c r="I7">
        <f t="shared" si="4"/>
        <v>1</v>
      </c>
      <c r="J7">
        <f t="shared" si="5"/>
        <v>0</v>
      </c>
    </row>
    <row r="8" spans="1:10" x14ac:dyDescent="0.2">
      <c r="A8" t="s">
        <v>19</v>
      </c>
      <c r="B8">
        <v>2016</v>
      </c>
      <c r="C8">
        <v>40</v>
      </c>
      <c r="D8" t="s">
        <v>16</v>
      </c>
      <c r="E8">
        <f t="shared" si="0"/>
        <v>0</v>
      </c>
      <c r="F8">
        <f t="shared" si="1"/>
        <v>0</v>
      </c>
      <c r="G8">
        <f t="shared" si="2"/>
        <v>0</v>
      </c>
      <c r="H8">
        <f t="shared" si="3"/>
        <v>0</v>
      </c>
      <c r="I8">
        <f t="shared" si="4"/>
        <v>1</v>
      </c>
      <c r="J8">
        <f t="shared" si="5"/>
        <v>0</v>
      </c>
    </row>
    <row r="9" spans="1:10" x14ac:dyDescent="0.2">
      <c r="A9" t="s">
        <v>20</v>
      </c>
      <c r="B9">
        <v>2017</v>
      </c>
      <c r="C9">
        <v>41</v>
      </c>
      <c r="D9" t="s">
        <v>11</v>
      </c>
      <c r="E9">
        <f t="shared" si="0"/>
        <v>0</v>
      </c>
      <c r="F9">
        <f t="shared" si="1"/>
        <v>1</v>
      </c>
      <c r="G9">
        <f t="shared" si="2"/>
        <v>0</v>
      </c>
      <c r="H9">
        <f t="shared" si="3"/>
        <v>0</v>
      </c>
      <c r="I9">
        <f t="shared" si="4"/>
        <v>0</v>
      </c>
      <c r="J9">
        <f t="shared" si="5"/>
        <v>0</v>
      </c>
    </row>
    <row r="10" spans="1:10" x14ac:dyDescent="0.2">
      <c r="A10" t="s">
        <v>21</v>
      </c>
      <c r="B10">
        <v>2014</v>
      </c>
      <c r="C10">
        <v>51</v>
      </c>
      <c r="D10" t="s">
        <v>22</v>
      </c>
      <c r="E10">
        <f t="shared" si="0"/>
        <v>1</v>
      </c>
      <c r="F10">
        <f t="shared" si="1"/>
        <v>0</v>
      </c>
      <c r="G10">
        <f t="shared" si="2"/>
        <v>0</v>
      </c>
      <c r="H10">
        <f t="shared" si="3"/>
        <v>0</v>
      </c>
      <c r="I10">
        <f t="shared" si="4"/>
        <v>0</v>
      </c>
      <c r="J10">
        <f t="shared" si="5"/>
        <v>0</v>
      </c>
    </row>
    <row r="11" spans="1:10" x14ac:dyDescent="0.2">
      <c r="A11" t="s">
        <v>23</v>
      </c>
      <c r="B11">
        <v>2019</v>
      </c>
      <c r="C11">
        <v>60</v>
      </c>
      <c r="D11" t="s">
        <v>11</v>
      </c>
      <c r="E11">
        <f t="shared" si="0"/>
        <v>0</v>
      </c>
      <c r="F11">
        <f t="shared" si="1"/>
        <v>1</v>
      </c>
      <c r="G11">
        <f t="shared" si="2"/>
        <v>0</v>
      </c>
      <c r="H11">
        <f t="shared" si="3"/>
        <v>0</v>
      </c>
      <c r="I11">
        <f t="shared" si="4"/>
        <v>0</v>
      </c>
      <c r="J11">
        <f t="shared" si="5"/>
        <v>0</v>
      </c>
    </row>
    <row r="12" spans="1:10" x14ac:dyDescent="0.2">
      <c r="A12" t="s">
        <v>24</v>
      </c>
      <c r="B12">
        <v>2017</v>
      </c>
      <c r="C12">
        <v>69</v>
      </c>
      <c r="D12" t="s">
        <v>22</v>
      </c>
      <c r="E12">
        <f t="shared" si="0"/>
        <v>1</v>
      </c>
      <c r="F12">
        <f t="shared" si="1"/>
        <v>0</v>
      </c>
      <c r="G12">
        <f t="shared" si="2"/>
        <v>0</v>
      </c>
      <c r="H12">
        <f t="shared" si="3"/>
        <v>0</v>
      </c>
      <c r="I12">
        <f t="shared" si="4"/>
        <v>0</v>
      </c>
      <c r="J12">
        <f t="shared" si="5"/>
        <v>0</v>
      </c>
    </row>
    <row r="13" spans="1:10" x14ac:dyDescent="0.2">
      <c r="A13" t="s">
        <v>25</v>
      </c>
      <c r="B13">
        <v>2017</v>
      </c>
      <c r="C13">
        <v>71</v>
      </c>
      <c r="D13" t="s">
        <v>26</v>
      </c>
      <c r="E13">
        <f t="shared" si="0"/>
        <v>0</v>
      </c>
      <c r="F13">
        <f t="shared" si="1"/>
        <v>0</v>
      </c>
      <c r="G13">
        <f t="shared" si="2"/>
        <v>0</v>
      </c>
      <c r="H13">
        <f t="shared" si="3"/>
        <v>1</v>
      </c>
      <c r="I13">
        <f t="shared" si="4"/>
        <v>0</v>
      </c>
      <c r="J13">
        <f t="shared" si="5"/>
        <v>0</v>
      </c>
    </row>
    <row r="14" spans="1:10" x14ac:dyDescent="0.2">
      <c r="A14" t="s">
        <v>27</v>
      </c>
      <c r="B14">
        <v>2015</v>
      </c>
      <c r="C14">
        <v>71</v>
      </c>
      <c r="D14" t="s">
        <v>16</v>
      </c>
      <c r="E14">
        <f t="shared" si="0"/>
        <v>0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1</v>
      </c>
      <c r="J14">
        <f t="shared" si="5"/>
        <v>0</v>
      </c>
    </row>
    <row r="15" spans="1:10" x14ac:dyDescent="0.2">
      <c r="A15" t="s">
        <v>28</v>
      </c>
      <c r="B15">
        <v>2017</v>
      </c>
      <c r="C15">
        <v>74</v>
      </c>
      <c r="D15" t="s">
        <v>11</v>
      </c>
      <c r="E15">
        <f t="shared" si="0"/>
        <v>0</v>
      </c>
      <c r="F15">
        <f t="shared" si="1"/>
        <v>1</v>
      </c>
      <c r="G15">
        <f t="shared" si="2"/>
        <v>0</v>
      </c>
      <c r="H15">
        <f t="shared" si="3"/>
        <v>0</v>
      </c>
      <c r="I15">
        <f t="shared" si="4"/>
        <v>0</v>
      </c>
      <c r="J15">
        <f t="shared" si="5"/>
        <v>0</v>
      </c>
    </row>
    <row r="16" spans="1:10" x14ac:dyDescent="0.2">
      <c r="A16" t="s">
        <v>29</v>
      </c>
      <c r="B16">
        <v>2017</v>
      </c>
      <c r="C16">
        <v>84</v>
      </c>
      <c r="D16" t="s">
        <v>16</v>
      </c>
      <c r="E16">
        <f t="shared" si="0"/>
        <v>0</v>
      </c>
      <c r="F16">
        <f t="shared" si="1"/>
        <v>0</v>
      </c>
      <c r="G16">
        <f t="shared" si="2"/>
        <v>0</v>
      </c>
      <c r="H16">
        <f t="shared" si="3"/>
        <v>0</v>
      </c>
      <c r="I16">
        <f t="shared" si="4"/>
        <v>1</v>
      </c>
      <c r="J16">
        <f t="shared" si="5"/>
        <v>0</v>
      </c>
    </row>
    <row r="17" spans="1:10" x14ac:dyDescent="0.2">
      <c r="A17" t="s">
        <v>30</v>
      </c>
      <c r="B17">
        <v>2014</v>
      </c>
      <c r="C17">
        <v>87</v>
      </c>
      <c r="D17" t="s">
        <v>11</v>
      </c>
      <c r="E17">
        <f t="shared" si="0"/>
        <v>0</v>
      </c>
      <c r="F17">
        <f t="shared" si="1"/>
        <v>1</v>
      </c>
      <c r="G17">
        <f t="shared" si="2"/>
        <v>0</v>
      </c>
      <c r="H17">
        <f t="shared" si="3"/>
        <v>0</v>
      </c>
      <c r="I17">
        <f t="shared" si="4"/>
        <v>0</v>
      </c>
      <c r="J17">
        <f t="shared" si="5"/>
        <v>0</v>
      </c>
    </row>
    <row r="18" spans="1:10" x14ac:dyDescent="0.2">
      <c r="A18" t="s">
        <v>31</v>
      </c>
      <c r="B18">
        <v>2017</v>
      </c>
      <c r="C18">
        <v>93</v>
      </c>
      <c r="D18" t="s">
        <v>16</v>
      </c>
      <c r="E18">
        <f t="shared" si="0"/>
        <v>0</v>
      </c>
      <c r="F18">
        <f t="shared" si="1"/>
        <v>0</v>
      </c>
      <c r="G18">
        <f t="shared" si="2"/>
        <v>0</v>
      </c>
      <c r="H18">
        <f t="shared" si="3"/>
        <v>0</v>
      </c>
      <c r="I18">
        <f t="shared" si="4"/>
        <v>1</v>
      </c>
      <c r="J18">
        <f t="shared" si="5"/>
        <v>0</v>
      </c>
    </row>
    <row r="19" spans="1:10" x14ac:dyDescent="0.2">
      <c r="A19" t="s">
        <v>32</v>
      </c>
      <c r="B19">
        <v>2014</v>
      </c>
      <c r="C19">
        <v>98</v>
      </c>
      <c r="D19" t="s">
        <v>16</v>
      </c>
      <c r="E19">
        <f t="shared" si="0"/>
        <v>0</v>
      </c>
      <c r="F19">
        <f t="shared" si="1"/>
        <v>0</v>
      </c>
      <c r="G19">
        <f t="shared" si="2"/>
        <v>0</v>
      </c>
      <c r="H19">
        <f t="shared" si="3"/>
        <v>0</v>
      </c>
      <c r="I19">
        <f t="shared" si="4"/>
        <v>1</v>
      </c>
      <c r="J19">
        <f t="shared" si="5"/>
        <v>0</v>
      </c>
    </row>
    <row r="20" spans="1:10" x14ac:dyDescent="0.2">
      <c r="A20" t="s">
        <v>33</v>
      </c>
      <c r="B20">
        <v>2013</v>
      </c>
      <c r="C20">
        <v>99</v>
      </c>
      <c r="D20" t="s">
        <v>34</v>
      </c>
      <c r="E20">
        <f t="shared" si="0"/>
        <v>1</v>
      </c>
      <c r="F20">
        <f t="shared" si="1"/>
        <v>0</v>
      </c>
      <c r="G20">
        <f t="shared" si="2"/>
        <v>1</v>
      </c>
      <c r="H20">
        <f t="shared" si="3"/>
        <v>0</v>
      </c>
      <c r="I20">
        <f t="shared" si="4"/>
        <v>0</v>
      </c>
      <c r="J20">
        <f t="shared" si="5"/>
        <v>0</v>
      </c>
    </row>
    <row r="21" spans="1:10" x14ac:dyDescent="0.2">
      <c r="A21" t="s">
        <v>35</v>
      </c>
      <c r="B21">
        <v>2018</v>
      </c>
      <c r="C21">
        <v>100</v>
      </c>
      <c r="D21" t="s">
        <v>11</v>
      </c>
      <c r="E21">
        <f t="shared" si="0"/>
        <v>0</v>
      </c>
      <c r="F21">
        <f t="shared" si="1"/>
        <v>1</v>
      </c>
      <c r="G21">
        <f t="shared" si="2"/>
        <v>0</v>
      </c>
      <c r="H21">
        <f t="shared" si="3"/>
        <v>0</v>
      </c>
      <c r="I21">
        <f t="shared" si="4"/>
        <v>0</v>
      </c>
      <c r="J21">
        <f t="shared" si="5"/>
        <v>0</v>
      </c>
    </row>
    <row r="22" spans="1:10" x14ac:dyDescent="0.2">
      <c r="A22" t="s">
        <v>36</v>
      </c>
      <c r="B22">
        <v>2013</v>
      </c>
      <c r="C22">
        <v>102</v>
      </c>
      <c r="D22" t="s">
        <v>16</v>
      </c>
      <c r="E22">
        <f t="shared" si="0"/>
        <v>0</v>
      </c>
      <c r="F22">
        <f t="shared" si="1"/>
        <v>0</v>
      </c>
      <c r="G22">
        <f t="shared" si="2"/>
        <v>0</v>
      </c>
      <c r="H22">
        <f t="shared" si="3"/>
        <v>0</v>
      </c>
      <c r="I22">
        <f t="shared" si="4"/>
        <v>1</v>
      </c>
      <c r="J22">
        <f t="shared" si="5"/>
        <v>0</v>
      </c>
    </row>
    <row r="23" spans="1:10" x14ac:dyDescent="0.2">
      <c r="A23" t="s">
        <v>37</v>
      </c>
      <c r="B23">
        <v>2016</v>
      </c>
      <c r="C23">
        <v>106</v>
      </c>
      <c r="D23" t="s">
        <v>11</v>
      </c>
      <c r="E23">
        <f t="shared" si="0"/>
        <v>0</v>
      </c>
      <c r="F23">
        <f t="shared" si="1"/>
        <v>1</v>
      </c>
      <c r="G23">
        <f t="shared" si="2"/>
        <v>0</v>
      </c>
      <c r="H23">
        <f t="shared" si="3"/>
        <v>0</v>
      </c>
      <c r="I23">
        <f t="shared" si="4"/>
        <v>0</v>
      </c>
      <c r="J23">
        <f t="shared" si="5"/>
        <v>0</v>
      </c>
    </row>
    <row r="24" spans="1:10" x14ac:dyDescent="0.2">
      <c r="A24" t="s">
        <v>38</v>
      </c>
      <c r="B24">
        <v>2015</v>
      </c>
      <c r="C24">
        <v>111</v>
      </c>
      <c r="D24" t="s">
        <v>13</v>
      </c>
      <c r="E24">
        <f t="shared" si="0"/>
        <v>0</v>
      </c>
      <c r="F24">
        <f t="shared" si="1"/>
        <v>0</v>
      </c>
      <c r="G24">
        <f t="shared" si="2"/>
        <v>0</v>
      </c>
      <c r="H24">
        <f t="shared" si="3"/>
        <v>0</v>
      </c>
      <c r="I24">
        <f t="shared" si="4"/>
        <v>0</v>
      </c>
      <c r="J24">
        <f t="shared" si="5"/>
        <v>1</v>
      </c>
    </row>
    <row r="25" spans="1:10" x14ac:dyDescent="0.2">
      <c r="A25" t="s">
        <v>39</v>
      </c>
      <c r="B25">
        <v>2015</v>
      </c>
      <c r="C25">
        <v>119</v>
      </c>
      <c r="D25" t="s">
        <v>26</v>
      </c>
      <c r="E25">
        <f t="shared" si="0"/>
        <v>0</v>
      </c>
      <c r="F25">
        <f t="shared" si="1"/>
        <v>0</v>
      </c>
      <c r="G25">
        <f t="shared" si="2"/>
        <v>0</v>
      </c>
      <c r="H25">
        <f t="shared" si="3"/>
        <v>1</v>
      </c>
      <c r="I25">
        <f t="shared" si="4"/>
        <v>0</v>
      </c>
      <c r="J25">
        <f t="shared" si="5"/>
        <v>0</v>
      </c>
    </row>
    <row r="26" spans="1:10" x14ac:dyDescent="0.2">
      <c r="A26" t="s">
        <v>40</v>
      </c>
      <c r="B26">
        <v>2018</v>
      </c>
      <c r="C26">
        <v>120</v>
      </c>
      <c r="D26" t="s">
        <v>11</v>
      </c>
      <c r="E26">
        <f t="shared" si="0"/>
        <v>0</v>
      </c>
      <c r="F26">
        <f t="shared" si="1"/>
        <v>1</v>
      </c>
      <c r="G26">
        <f t="shared" si="2"/>
        <v>0</v>
      </c>
      <c r="H26">
        <f t="shared" si="3"/>
        <v>0</v>
      </c>
      <c r="I26">
        <f t="shared" si="4"/>
        <v>0</v>
      </c>
      <c r="J26">
        <f t="shared" si="5"/>
        <v>0</v>
      </c>
    </row>
    <row r="27" spans="1:10" x14ac:dyDescent="0.2">
      <c r="A27" t="s">
        <v>41</v>
      </c>
      <c r="B27">
        <v>2017</v>
      </c>
      <c r="C27">
        <v>120</v>
      </c>
      <c r="D27" t="s">
        <v>16</v>
      </c>
      <c r="E27">
        <f t="shared" si="0"/>
        <v>0</v>
      </c>
      <c r="F27">
        <f t="shared" si="1"/>
        <v>0</v>
      </c>
      <c r="G27">
        <f t="shared" si="2"/>
        <v>0</v>
      </c>
      <c r="H27">
        <f t="shared" si="3"/>
        <v>0</v>
      </c>
      <c r="I27">
        <f t="shared" si="4"/>
        <v>1</v>
      </c>
      <c r="J27">
        <f t="shared" si="5"/>
        <v>0</v>
      </c>
    </row>
    <row r="28" spans="1:10" x14ac:dyDescent="0.2">
      <c r="A28" t="s">
        <v>42</v>
      </c>
      <c r="B28">
        <v>2015</v>
      </c>
      <c r="C28">
        <v>120</v>
      </c>
      <c r="D28" t="s">
        <v>34</v>
      </c>
      <c r="E28">
        <f t="shared" si="0"/>
        <v>1</v>
      </c>
      <c r="F28">
        <f t="shared" si="1"/>
        <v>0</v>
      </c>
      <c r="G28">
        <f t="shared" si="2"/>
        <v>1</v>
      </c>
      <c r="H28">
        <f t="shared" si="3"/>
        <v>0</v>
      </c>
      <c r="I28">
        <f t="shared" si="4"/>
        <v>0</v>
      </c>
      <c r="J28">
        <f t="shared" si="5"/>
        <v>0</v>
      </c>
    </row>
    <row r="29" spans="1:10" x14ac:dyDescent="0.2">
      <c r="A29" t="s">
        <v>43</v>
      </c>
      <c r="B29">
        <v>2017</v>
      </c>
      <c r="C29">
        <v>123</v>
      </c>
      <c r="D29" t="s">
        <v>11</v>
      </c>
      <c r="E29">
        <f t="shared" si="0"/>
        <v>0</v>
      </c>
      <c r="F29">
        <f t="shared" si="1"/>
        <v>1</v>
      </c>
      <c r="G29">
        <f t="shared" si="2"/>
        <v>0</v>
      </c>
      <c r="H29">
        <f t="shared" si="3"/>
        <v>0</v>
      </c>
      <c r="I29">
        <f t="shared" si="4"/>
        <v>0</v>
      </c>
      <c r="J29">
        <f t="shared" si="5"/>
        <v>0</v>
      </c>
    </row>
    <row r="30" spans="1:10" x14ac:dyDescent="0.2">
      <c r="A30" t="s">
        <v>44</v>
      </c>
      <c r="B30">
        <v>2016</v>
      </c>
      <c r="C30">
        <v>123</v>
      </c>
      <c r="D30" t="s">
        <v>16</v>
      </c>
      <c r="E30">
        <f t="shared" si="0"/>
        <v>0</v>
      </c>
      <c r="F30">
        <f t="shared" si="1"/>
        <v>0</v>
      </c>
      <c r="G30">
        <f t="shared" si="2"/>
        <v>0</v>
      </c>
      <c r="H30">
        <f t="shared" si="3"/>
        <v>0</v>
      </c>
      <c r="I30">
        <f t="shared" si="4"/>
        <v>1</v>
      </c>
      <c r="J30">
        <f t="shared" si="5"/>
        <v>0</v>
      </c>
    </row>
    <row r="31" spans="1:10" x14ac:dyDescent="0.2">
      <c r="A31" t="s">
        <v>45</v>
      </c>
      <c r="B31">
        <v>2016</v>
      </c>
      <c r="C31">
        <v>123</v>
      </c>
      <c r="D31" t="s">
        <v>16</v>
      </c>
      <c r="E31">
        <f t="shared" si="0"/>
        <v>0</v>
      </c>
      <c r="F31">
        <f t="shared" si="1"/>
        <v>0</v>
      </c>
      <c r="G31">
        <f t="shared" si="2"/>
        <v>0</v>
      </c>
      <c r="H31">
        <f t="shared" si="3"/>
        <v>0</v>
      </c>
      <c r="I31">
        <f t="shared" si="4"/>
        <v>1</v>
      </c>
      <c r="J31">
        <f t="shared" si="5"/>
        <v>0</v>
      </c>
    </row>
    <row r="32" spans="1:10" x14ac:dyDescent="0.2">
      <c r="A32" t="s">
        <v>46</v>
      </c>
      <c r="B32">
        <v>2017</v>
      </c>
      <c r="C32">
        <v>125</v>
      </c>
      <c r="D32" t="s">
        <v>16</v>
      </c>
      <c r="E32">
        <f t="shared" si="0"/>
        <v>0</v>
      </c>
      <c r="F32">
        <f t="shared" si="1"/>
        <v>0</v>
      </c>
      <c r="G32">
        <f t="shared" si="2"/>
        <v>0</v>
      </c>
      <c r="H32">
        <f t="shared" si="3"/>
        <v>0</v>
      </c>
      <c r="I32">
        <f t="shared" si="4"/>
        <v>1</v>
      </c>
      <c r="J32">
        <f t="shared" si="5"/>
        <v>0</v>
      </c>
    </row>
    <row r="33" spans="1:10" x14ac:dyDescent="0.2">
      <c r="A33" t="s">
        <v>47</v>
      </c>
      <c r="B33">
        <v>2015</v>
      </c>
      <c r="C33">
        <v>126</v>
      </c>
      <c r="D33" t="s">
        <v>11</v>
      </c>
      <c r="E33">
        <f t="shared" si="0"/>
        <v>0</v>
      </c>
      <c r="F33">
        <f t="shared" si="1"/>
        <v>1</v>
      </c>
      <c r="G33">
        <f t="shared" si="2"/>
        <v>0</v>
      </c>
      <c r="H33">
        <f t="shared" si="3"/>
        <v>0</v>
      </c>
      <c r="I33">
        <f t="shared" si="4"/>
        <v>0</v>
      </c>
      <c r="J33">
        <f t="shared" si="5"/>
        <v>0</v>
      </c>
    </row>
    <row r="34" spans="1:10" x14ac:dyDescent="0.2">
      <c r="A34" t="s">
        <v>48</v>
      </c>
      <c r="B34">
        <v>2016</v>
      </c>
      <c r="C34">
        <v>126</v>
      </c>
      <c r="D34" t="s">
        <v>34</v>
      </c>
      <c r="E34">
        <f t="shared" si="0"/>
        <v>1</v>
      </c>
      <c r="F34">
        <f t="shared" si="1"/>
        <v>0</v>
      </c>
      <c r="G34">
        <f t="shared" si="2"/>
        <v>1</v>
      </c>
      <c r="H34">
        <f t="shared" si="3"/>
        <v>0</v>
      </c>
      <c r="I34">
        <f t="shared" si="4"/>
        <v>0</v>
      </c>
      <c r="J34">
        <f t="shared" si="5"/>
        <v>0</v>
      </c>
    </row>
    <row r="35" spans="1:10" x14ac:dyDescent="0.2">
      <c r="A35" t="s">
        <v>49</v>
      </c>
      <c r="B35">
        <v>2017</v>
      </c>
      <c r="C35">
        <v>128</v>
      </c>
      <c r="D35" t="s">
        <v>16</v>
      </c>
      <c r="E35">
        <f t="shared" si="0"/>
        <v>0</v>
      </c>
      <c r="F35">
        <f t="shared" si="1"/>
        <v>0</v>
      </c>
      <c r="G35">
        <f t="shared" si="2"/>
        <v>0</v>
      </c>
      <c r="H35">
        <f t="shared" si="3"/>
        <v>0</v>
      </c>
      <c r="I35">
        <f t="shared" si="4"/>
        <v>1</v>
      </c>
      <c r="J35">
        <f t="shared" si="5"/>
        <v>0</v>
      </c>
    </row>
    <row r="36" spans="1:10" x14ac:dyDescent="0.2">
      <c r="A36" t="s">
        <v>50</v>
      </c>
      <c r="B36">
        <v>2018</v>
      </c>
      <c r="C36">
        <v>129</v>
      </c>
      <c r="D36" t="s">
        <v>16</v>
      </c>
      <c r="E36">
        <f t="shared" si="0"/>
        <v>0</v>
      </c>
      <c r="F36">
        <f t="shared" si="1"/>
        <v>0</v>
      </c>
      <c r="G36">
        <f t="shared" si="2"/>
        <v>0</v>
      </c>
      <c r="H36">
        <f t="shared" si="3"/>
        <v>0</v>
      </c>
      <c r="I36">
        <f t="shared" si="4"/>
        <v>1</v>
      </c>
      <c r="J36">
        <f t="shared" si="5"/>
        <v>0</v>
      </c>
    </row>
    <row r="37" spans="1:10" x14ac:dyDescent="0.2">
      <c r="A37" t="s">
        <v>51</v>
      </c>
      <c r="B37">
        <v>2014</v>
      </c>
      <c r="C37">
        <v>129</v>
      </c>
      <c r="D37" t="s">
        <v>13</v>
      </c>
      <c r="E37">
        <f t="shared" si="0"/>
        <v>0</v>
      </c>
      <c r="F37">
        <f t="shared" si="1"/>
        <v>0</v>
      </c>
      <c r="G37">
        <f t="shared" si="2"/>
        <v>0</v>
      </c>
      <c r="H37">
        <f t="shared" si="3"/>
        <v>0</v>
      </c>
      <c r="I37">
        <f t="shared" si="4"/>
        <v>0</v>
      </c>
      <c r="J37">
        <f t="shared" si="5"/>
        <v>1</v>
      </c>
    </row>
    <row r="38" spans="1:10" x14ac:dyDescent="0.2">
      <c r="A38" t="s">
        <v>52</v>
      </c>
      <c r="B38">
        <v>2016</v>
      </c>
      <c r="C38">
        <v>130</v>
      </c>
      <c r="D38" t="s">
        <v>16</v>
      </c>
      <c r="E38">
        <f t="shared" si="0"/>
        <v>0</v>
      </c>
      <c r="F38">
        <f t="shared" si="1"/>
        <v>0</v>
      </c>
      <c r="G38">
        <f t="shared" si="2"/>
        <v>0</v>
      </c>
      <c r="H38">
        <f t="shared" si="3"/>
        <v>0</v>
      </c>
      <c r="I38">
        <f t="shared" si="4"/>
        <v>1</v>
      </c>
      <c r="J38">
        <f t="shared" si="5"/>
        <v>0</v>
      </c>
    </row>
    <row r="39" spans="1:10" x14ac:dyDescent="0.2">
      <c r="A39" t="s">
        <v>53</v>
      </c>
      <c r="B39">
        <v>2015</v>
      </c>
      <c r="C39">
        <v>133</v>
      </c>
      <c r="D39" t="s">
        <v>16</v>
      </c>
      <c r="E39">
        <f t="shared" si="0"/>
        <v>0</v>
      </c>
      <c r="F39">
        <f t="shared" si="1"/>
        <v>0</v>
      </c>
      <c r="G39">
        <f t="shared" si="2"/>
        <v>0</v>
      </c>
      <c r="H39">
        <f t="shared" si="3"/>
        <v>0</v>
      </c>
      <c r="I39">
        <f t="shared" si="4"/>
        <v>1</v>
      </c>
      <c r="J39">
        <f t="shared" si="5"/>
        <v>0</v>
      </c>
    </row>
    <row r="40" spans="1:10" x14ac:dyDescent="0.2">
      <c r="A40" t="s">
        <v>54</v>
      </c>
      <c r="B40">
        <v>2015</v>
      </c>
      <c r="C40">
        <v>140</v>
      </c>
      <c r="D40" t="s">
        <v>16</v>
      </c>
      <c r="E40">
        <f t="shared" si="0"/>
        <v>0</v>
      </c>
      <c r="F40">
        <f t="shared" si="1"/>
        <v>0</v>
      </c>
      <c r="G40">
        <f t="shared" si="2"/>
        <v>0</v>
      </c>
      <c r="H40">
        <f t="shared" si="3"/>
        <v>0</v>
      </c>
      <c r="I40">
        <f t="shared" si="4"/>
        <v>1</v>
      </c>
      <c r="J40">
        <f t="shared" si="5"/>
        <v>0</v>
      </c>
    </row>
    <row r="41" spans="1:10" x14ac:dyDescent="0.2">
      <c r="A41" t="s">
        <v>55</v>
      </c>
      <c r="B41">
        <v>2013</v>
      </c>
      <c r="C41">
        <v>140</v>
      </c>
      <c r="D41" t="s">
        <v>16</v>
      </c>
      <c r="E41">
        <f t="shared" si="0"/>
        <v>0</v>
      </c>
      <c r="F41">
        <f t="shared" si="1"/>
        <v>0</v>
      </c>
      <c r="G41">
        <f t="shared" si="2"/>
        <v>0</v>
      </c>
      <c r="H41">
        <f t="shared" si="3"/>
        <v>0</v>
      </c>
      <c r="I41">
        <f t="shared" si="4"/>
        <v>1</v>
      </c>
      <c r="J41">
        <f t="shared" si="5"/>
        <v>0</v>
      </c>
    </row>
    <row r="42" spans="1:10" x14ac:dyDescent="0.2">
      <c r="A42" t="s">
        <v>56</v>
      </c>
      <c r="B42">
        <v>2014</v>
      </c>
      <c r="C42">
        <v>140</v>
      </c>
      <c r="D42" t="s">
        <v>13</v>
      </c>
      <c r="E42">
        <f t="shared" si="0"/>
        <v>0</v>
      </c>
      <c r="F42">
        <f t="shared" si="1"/>
        <v>0</v>
      </c>
      <c r="G42">
        <f t="shared" si="2"/>
        <v>0</v>
      </c>
      <c r="H42">
        <f t="shared" si="3"/>
        <v>0</v>
      </c>
      <c r="I42">
        <f t="shared" si="4"/>
        <v>0</v>
      </c>
      <c r="J42">
        <f t="shared" si="5"/>
        <v>1</v>
      </c>
    </row>
    <row r="43" spans="1:10" x14ac:dyDescent="0.2">
      <c r="A43" t="s">
        <v>57</v>
      </c>
      <c r="B43">
        <v>2017</v>
      </c>
      <c r="C43">
        <v>144</v>
      </c>
      <c r="D43" t="s">
        <v>34</v>
      </c>
      <c r="E43">
        <f t="shared" si="0"/>
        <v>1</v>
      </c>
      <c r="F43">
        <f t="shared" si="1"/>
        <v>0</v>
      </c>
      <c r="G43">
        <f t="shared" si="2"/>
        <v>1</v>
      </c>
      <c r="H43">
        <f t="shared" si="3"/>
        <v>0</v>
      </c>
      <c r="I43">
        <f t="shared" si="4"/>
        <v>0</v>
      </c>
      <c r="J43">
        <f t="shared" si="5"/>
        <v>0</v>
      </c>
    </row>
    <row r="44" spans="1:10" x14ac:dyDescent="0.2">
      <c r="A44" t="s">
        <v>58</v>
      </c>
      <c r="B44">
        <v>2017</v>
      </c>
      <c r="C44">
        <v>144</v>
      </c>
      <c r="D44" t="s">
        <v>16</v>
      </c>
      <c r="E44">
        <f t="shared" si="0"/>
        <v>0</v>
      </c>
      <c r="F44">
        <f t="shared" si="1"/>
        <v>0</v>
      </c>
      <c r="G44">
        <f t="shared" si="2"/>
        <v>0</v>
      </c>
      <c r="H44">
        <f t="shared" si="3"/>
        <v>0</v>
      </c>
      <c r="I44">
        <f t="shared" si="4"/>
        <v>1</v>
      </c>
      <c r="J44">
        <f t="shared" si="5"/>
        <v>0</v>
      </c>
    </row>
    <row r="45" spans="1:10" x14ac:dyDescent="0.2">
      <c r="A45" t="s">
        <v>59</v>
      </c>
      <c r="B45">
        <v>2017</v>
      </c>
      <c r="C45">
        <v>151</v>
      </c>
      <c r="D45" t="s">
        <v>11</v>
      </c>
      <c r="E45">
        <f t="shared" si="0"/>
        <v>0</v>
      </c>
      <c r="F45">
        <f t="shared" si="1"/>
        <v>1</v>
      </c>
      <c r="G45">
        <f t="shared" si="2"/>
        <v>0</v>
      </c>
      <c r="H45">
        <f t="shared" si="3"/>
        <v>0</v>
      </c>
      <c r="I45">
        <f t="shared" si="4"/>
        <v>0</v>
      </c>
      <c r="J45">
        <f t="shared" si="5"/>
        <v>0</v>
      </c>
    </row>
    <row r="46" spans="1:10" x14ac:dyDescent="0.2">
      <c r="A46" t="s">
        <v>60</v>
      </c>
      <c r="B46">
        <v>2019</v>
      </c>
      <c r="C46">
        <v>154</v>
      </c>
      <c r="D46" t="s">
        <v>11</v>
      </c>
      <c r="E46">
        <f t="shared" si="0"/>
        <v>0</v>
      </c>
      <c r="F46">
        <f t="shared" si="1"/>
        <v>1</v>
      </c>
      <c r="G46">
        <f t="shared" si="2"/>
        <v>0</v>
      </c>
      <c r="H46">
        <f t="shared" si="3"/>
        <v>0</v>
      </c>
      <c r="I46">
        <f t="shared" si="4"/>
        <v>0</v>
      </c>
      <c r="J46">
        <f t="shared" si="5"/>
        <v>0</v>
      </c>
    </row>
    <row r="47" spans="1:10" x14ac:dyDescent="0.2">
      <c r="A47" t="s">
        <v>61</v>
      </c>
      <c r="B47">
        <v>2014</v>
      </c>
      <c r="C47">
        <v>154</v>
      </c>
      <c r="D47" t="s">
        <v>16</v>
      </c>
      <c r="E47">
        <f t="shared" si="0"/>
        <v>0</v>
      </c>
      <c r="F47">
        <f t="shared" si="1"/>
        <v>0</v>
      </c>
      <c r="G47">
        <f t="shared" si="2"/>
        <v>0</v>
      </c>
      <c r="H47">
        <f t="shared" si="3"/>
        <v>0</v>
      </c>
      <c r="I47">
        <f t="shared" si="4"/>
        <v>1</v>
      </c>
      <c r="J47">
        <f t="shared" si="5"/>
        <v>0</v>
      </c>
    </row>
    <row r="48" spans="1:10" x14ac:dyDescent="0.2">
      <c r="A48" t="s">
        <v>62</v>
      </c>
      <c r="B48">
        <v>2014</v>
      </c>
      <c r="C48">
        <v>156</v>
      </c>
      <c r="D48" t="s">
        <v>16</v>
      </c>
      <c r="E48">
        <f t="shared" si="0"/>
        <v>0</v>
      </c>
      <c r="F48">
        <f t="shared" si="1"/>
        <v>0</v>
      </c>
      <c r="G48">
        <f t="shared" si="2"/>
        <v>0</v>
      </c>
      <c r="H48">
        <f t="shared" si="3"/>
        <v>0</v>
      </c>
      <c r="I48">
        <f t="shared" si="4"/>
        <v>1</v>
      </c>
      <c r="J48">
        <f t="shared" si="5"/>
        <v>0</v>
      </c>
    </row>
    <row r="49" spans="1:10" x14ac:dyDescent="0.2">
      <c r="A49" t="s">
        <v>63</v>
      </c>
      <c r="B49">
        <v>2016</v>
      </c>
      <c r="C49">
        <v>157</v>
      </c>
      <c r="D49" t="s">
        <v>13</v>
      </c>
      <c r="E49">
        <f t="shared" si="0"/>
        <v>0</v>
      </c>
      <c r="F49">
        <f t="shared" si="1"/>
        <v>0</v>
      </c>
      <c r="G49">
        <f t="shared" si="2"/>
        <v>0</v>
      </c>
      <c r="H49">
        <f t="shared" si="3"/>
        <v>0</v>
      </c>
      <c r="I49">
        <f t="shared" si="4"/>
        <v>0</v>
      </c>
      <c r="J49">
        <f t="shared" si="5"/>
        <v>1</v>
      </c>
    </row>
    <row r="50" spans="1:10" x14ac:dyDescent="0.2">
      <c r="A50" t="s">
        <v>64</v>
      </c>
      <c r="B50">
        <v>2016</v>
      </c>
      <c r="C50">
        <v>170</v>
      </c>
      <c r="D50" t="s">
        <v>11</v>
      </c>
      <c r="E50">
        <f t="shared" si="0"/>
        <v>0</v>
      </c>
      <c r="F50">
        <f t="shared" si="1"/>
        <v>1</v>
      </c>
      <c r="G50">
        <f t="shared" si="2"/>
        <v>0</v>
      </c>
      <c r="H50">
        <f t="shared" si="3"/>
        <v>0</v>
      </c>
      <c r="I50">
        <f t="shared" si="4"/>
        <v>0</v>
      </c>
      <c r="J50">
        <f t="shared" si="5"/>
        <v>0</v>
      </c>
    </row>
    <row r="51" spans="1:10" x14ac:dyDescent="0.2">
      <c r="A51" t="s">
        <v>65</v>
      </c>
      <c r="B51">
        <v>2018</v>
      </c>
      <c r="C51">
        <v>175</v>
      </c>
      <c r="D51" t="s">
        <v>13</v>
      </c>
      <c r="E51">
        <f t="shared" si="0"/>
        <v>0</v>
      </c>
      <c r="F51">
        <f t="shared" si="1"/>
        <v>0</v>
      </c>
      <c r="G51">
        <f t="shared" si="2"/>
        <v>0</v>
      </c>
      <c r="H51">
        <f t="shared" si="3"/>
        <v>0</v>
      </c>
      <c r="I51">
        <f t="shared" si="4"/>
        <v>0</v>
      </c>
      <c r="J51">
        <f t="shared" si="5"/>
        <v>1</v>
      </c>
    </row>
    <row r="52" spans="1:10" x14ac:dyDescent="0.2">
      <c r="A52" t="s">
        <v>66</v>
      </c>
      <c r="B52">
        <v>2014</v>
      </c>
      <c r="C52">
        <v>181</v>
      </c>
      <c r="D52" t="s">
        <v>11</v>
      </c>
      <c r="E52">
        <f t="shared" si="0"/>
        <v>0</v>
      </c>
      <c r="F52">
        <f t="shared" si="1"/>
        <v>1</v>
      </c>
      <c r="G52">
        <f t="shared" si="2"/>
        <v>0</v>
      </c>
      <c r="H52">
        <f t="shared" si="3"/>
        <v>0</v>
      </c>
      <c r="I52">
        <f t="shared" si="4"/>
        <v>0</v>
      </c>
      <c r="J52">
        <f t="shared" si="5"/>
        <v>0</v>
      </c>
    </row>
    <row r="53" spans="1:10" x14ac:dyDescent="0.2">
      <c r="A53" t="s">
        <v>67</v>
      </c>
      <c r="B53">
        <v>2015</v>
      </c>
      <c r="C53">
        <v>182</v>
      </c>
      <c r="D53" t="s">
        <v>16</v>
      </c>
      <c r="E53">
        <f t="shared" si="0"/>
        <v>0</v>
      </c>
      <c r="F53">
        <f t="shared" si="1"/>
        <v>0</v>
      </c>
      <c r="G53">
        <f t="shared" si="2"/>
        <v>0</v>
      </c>
      <c r="H53">
        <f t="shared" si="3"/>
        <v>0</v>
      </c>
      <c r="I53">
        <f t="shared" si="4"/>
        <v>1</v>
      </c>
      <c r="J53">
        <f t="shared" si="5"/>
        <v>0</v>
      </c>
    </row>
    <row r="54" spans="1:10" x14ac:dyDescent="0.2">
      <c r="A54" t="s">
        <v>68</v>
      </c>
      <c r="B54">
        <v>2017</v>
      </c>
      <c r="C54">
        <v>187</v>
      </c>
      <c r="D54" t="s">
        <v>16</v>
      </c>
      <c r="E54">
        <f t="shared" si="0"/>
        <v>0</v>
      </c>
      <c r="F54">
        <f t="shared" si="1"/>
        <v>0</v>
      </c>
      <c r="G54">
        <f t="shared" si="2"/>
        <v>0</v>
      </c>
      <c r="H54">
        <f t="shared" si="3"/>
        <v>0</v>
      </c>
      <c r="I54">
        <f t="shared" si="4"/>
        <v>1</v>
      </c>
      <c r="J54">
        <f t="shared" si="5"/>
        <v>0</v>
      </c>
    </row>
    <row r="55" spans="1:10" x14ac:dyDescent="0.2">
      <c r="A55" t="s">
        <v>69</v>
      </c>
      <c r="B55">
        <v>2020</v>
      </c>
      <c r="C55">
        <v>195</v>
      </c>
      <c r="D55" t="s">
        <v>11</v>
      </c>
      <c r="E55">
        <f t="shared" si="0"/>
        <v>0</v>
      </c>
      <c r="F55">
        <f t="shared" si="1"/>
        <v>1</v>
      </c>
      <c r="G55">
        <f t="shared" si="2"/>
        <v>0</v>
      </c>
      <c r="H55">
        <f t="shared" si="3"/>
        <v>0</v>
      </c>
      <c r="I55">
        <f t="shared" si="4"/>
        <v>0</v>
      </c>
      <c r="J55">
        <f t="shared" si="5"/>
        <v>0</v>
      </c>
    </row>
    <row r="56" spans="1:10" x14ac:dyDescent="0.2">
      <c r="A56" t="s">
        <v>70</v>
      </c>
      <c r="B56">
        <v>2018</v>
      </c>
      <c r="C56">
        <v>195</v>
      </c>
      <c r="D56" t="s">
        <v>11</v>
      </c>
      <c r="E56">
        <f t="shared" si="0"/>
        <v>0</v>
      </c>
      <c r="F56">
        <f t="shared" si="1"/>
        <v>1</v>
      </c>
      <c r="G56">
        <f t="shared" si="2"/>
        <v>0</v>
      </c>
      <c r="H56">
        <f t="shared" si="3"/>
        <v>0</v>
      </c>
      <c r="I56">
        <f t="shared" si="4"/>
        <v>0</v>
      </c>
      <c r="J56">
        <f t="shared" si="5"/>
        <v>0</v>
      </c>
    </row>
    <row r="57" spans="1:10" x14ac:dyDescent="0.2">
      <c r="A57" t="s">
        <v>71</v>
      </c>
      <c r="B57">
        <v>2017</v>
      </c>
      <c r="C57">
        <v>201</v>
      </c>
      <c r="D57" t="s">
        <v>11</v>
      </c>
      <c r="E57">
        <f t="shared" si="0"/>
        <v>0</v>
      </c>
      <c r="F57">
        <f t="shared" si="1"/>
        <v>1</v>
      </c>
      <c r="G57">
        <f t="shared" si="2"/>
        <v>0</v>
      </c>
      <c r="H57">
        <f t="shared" si="3"/>
        <v>0</v>
      </c>
      <c r="I57">
        <f t="shared" si="4"/>
        <v>0</v>
      </c>
      <c r="J57">
        <f t="shared" si="5"/>
        <v>0</v>
      </c>
    </row>
    <row r="58" spans="1:10" x14ac:dyDescent="0.2">
      <c r="A58" t="s">
        <v>72</v>
      </c>
      <c r="B58">
        <v>2014</v>
      </c>
      <c r="C58">
        <v>202</v>
      </c>
      <c r="D58" t="s">
        <v>34</v>
      </c>
      <c r="E58">
        <f t="shared" si="0"/>
        <v>1</v>
      </c>
      <c r="F58">
        <f t="shared" si="1"/>
        <v>0</v>
      </c>
      <c r="G58">
        <f t="shared" si="2"/>
        <v>1</v>
      </c>
      <c r="H58">
        <f t="shared" si="3"/>
        <v>0</v>
      </c>
      <c r="I58">
        <f t="shared" si="4"/>
        <v>0</v>
      </c>
      <c r="J58">
        <f t="shared" si="5"/>
        <v>0</v>
      </c>
    </row>
    <row r="59" spans="1:10" x14ac:dyDescent="0.2">
      <c r="A59" t="s">
        <v>73</v>
      </c>
      <c r="B59">
        <v>2015</v>
      </c>
      <c r="C59">
        <v>202</v>
      </c>
      <c r="D59" t="s">
        <v>11</v>
      </c>
      <c r="E59">
        <f t="shared" si="0"/>
        <v>0</v>
      </c>
      <c r="F59">
        <f t="shared" si="1"/>
        <v>1</v>
      </c>
      <c r="G59">
        <f t="shared" si="2"/>
        <v>0</v>
      </c>
      <c r="H59">
        <f t="shared" si="3"/>
        <v>0</v>
      </c>
      <c r="I59">
        <f t="shared" si="4"/>
        <v>0</v>
      </c>
      <c r="J59">
        <f t="shared" si="5"/>
        <v>0</v>
      </c>
    </row>
    <row r="60" spans="1:10" x14ac:dyDescent="0.2">
      <c r="A60" t="s">
        <v>74</v>
      </c>
      <c r="B60">
        <v>2014</v>
      </c>
      <c r="C60">
        <v>204</v>
      </c>
      <c r="D60" t="s">
        <v>16</v>
      </c>
      <c r="E60">
        <f t="shared" si="0"/>
        <v>0</v>
      </c>
      <c r="F60">
        <f t="shared" si="1"/>
        <v>0</v>
      </c>
      <c r="G60">
        <f t="shared" si="2"/>
        <v>0</v>
      </c>
      <c r="H60">
        <f t="shared" si="3"/>
        <v>0</v>
      </c>
      <c r="I60">
        <f t="shared" si="4"/>
        <v>1</v>
      </c>
      <c r="J60">
        <f t="shared" si="5"/>
        <v>0</v>
      </c>
    </row>
    <row r="61" spans="1:10" x14ac:dyDescent="0.2">
      <c r="A61" t="s">
        <v>75</v>
      </c>
      <c r="B61">
        <v>2016</v>
      </c>
      <c r="C61">
        <v>210</v>
      </c>
      <c r="D61" t="s">
        <v>16</v>
      </c>
      <c r="E61">
        <f t="shared" si="0"/>
        <v>0</v>
      </c>
      <c r="F61">
        <f t="shared" si="1"/>
        <v>0</v>
      </c>
      <c r="G61">
        <f t="shared" si="2"/>
        <v>0</v>
      </c>
      <c r="H61">
        <f t="shared" si="3"/>
        <v>0</v>
      </c>
      <c r="I61">
        <f t="shared" si="4"/>
        <v>1</v>
      </c>
      <c r="J61">
        <f t="shared" si="5"/>
        <v>0</v>
      </c>
    </row>
    <row r="62" spans="1:10" x14ac:dyDescent="0.2">
      <c r="A62" t="s">
        <v>76</v>
      </c>
      <c r="B62">
        <v>2018</v>
      </c>
      <c r="C62">
        <v>218</v>
      </c>
      <c r="D62" t="s">
        <v>22</v>
      </c>
      <c r="E62">
        <f t="shared" si="0"/>
        <v>1</v>
      </c>
      <c r="F62">
        <f t="shared" si="1"/>
        <v>0</v>
      </c>
      <c r="G62">
        <f t="shared" si="2"/>
        <v>0</v>
      </c>
      <c r="H62">
        <f t="shared" si="3"/>
        <v>0</v>
      </c>
      <c r="I62">
        <f t="shared" si="4"/>
        <v>0</v>
      </c>
      <c r="J62">
        <f t="shared" si="5"/>
        <v>0</v>
      </c>
    </row>
    <row r="63" spans="1:10" x14ac:dyDescent="0.2">
      <c r="A63" t="s">
        <v>77</v>
      </c>
      <c r="B63">
        <v>2017</v>
      </c>
      <c r="C63">
        <v>220</v>
      </c>
      <c r="D63" t="s">
        <v>11</v>
      </c>
      <c r="E63">
        <f t="shared" si="0"/>
        <v>0</v>
      </c>
      <c r="F63">
        <f t="shared" si="1"/>
        <v>1</v>
      </c>
      <c r="G63">
        <f t="shared" si="2"/>
        <v>0</v>
      </c>
      <c r="H63">
        <f t="shared" si="3"/>
        <v>0</v>
      </c>
      <c r="I63">
        <f t="shared" si="4"/>
        <v>0</v>
      </c>
      <c r="J63">
        <f t="shared" si="5"/>
        <v>0</v>
      </c>
    </row>
    <row r="64" spans="1:10" x14ac:dyDescent="0.2">
      <c r="A64" t="s">
        <v>78</v>
      </c>
      <c r="B64">
        <v>2017</v>
      </c>
      <c r="C64">
        <v>221</v>
      </c>
      <c r="D64" t="s">
        <v>34</v>
      </c>
      <c r="E64">
        <f t="shared" si="0"/>
        <v>1</v>
      </c>
      <c r="F64">
        <f t="shared" si="1"/>
        <v>0</v>
      </c>
      <c r="G64">
        <f t="shared" si="2"/>
        <v>1</v>
      </c>
      <c r="H64">
        <f t="shared" si="3"/>
        <v>0</v>
      </c>
      <c r="I64">
        <f t="shared" si="4"/>
        <v>0</v>
      </c>
      <c r="J64">
        <f t="shared" si="5"/>
        <v>0</v>
      </c>
    </row>
    <row r="65" spans="1:10" x14ac:dyDescent="0.2">
      <c r="A65" t="s">
        <v>79</v>
      </c>
      <c r="B65">
        <v>2014</v>
      </c>
      <c r="C65">
        <v>229</v>
      </c>
      <c r="D65" t="s">
        <v>11</v>
      </c>
      <c r="E65">
        <f t="shared" si="0"/>
        <v>0</v>
      </c>
      <c r="F65">
        <f t="shared" si="1"/>
        <v>1</v>
      </c>
      <c r="G65">
        <f t="shared" si="2"/>
        <v>0</v>
      </c>
      <c r="H65">
        <f t="shared" si="3"/>
        <v>0</v>
      </c>
      <c r="I65">
        <f t="shared" si="4"/>
        <v>0</v>
      </c>
      <c r="J65">
        <f t="shared" si="5"/>
        <v>0</v>
      </c>
    </row>
    <row r="66" spans="1:10" x14ac:dyDescent="0.2">
      <c r="A66" t="s">
        <v>80</v>
      </c>
      <c r="B66">
        <v>2016</v>
      </c>
      <c r="C66">
        <v>233</v>
      </c>
      <c r="D66" t="s">
        <v>16</v>
      </c>
      <c r="E66">
        <f t="shared" si="0"/>
        <v>0</v>
      </c>
      <c r="F66">
        <f t="shared" si="1"/>
        <v>0</v>
      </c>
      <c r="G66">
        <f t="shared" si="2"/>
        <v>0</v>
      </c>
      <c r="H66">
        <f t="shared" si="3"/>
        <v>0</v>
      </c>
      <c r="I66">
        <f t="shared" si="4"/>
        <v>1</v>
      </c>
      <c r="J66">
        <f t="shared" si="5"/>
        <v>0</v>
      </c>
    </row>
    <row r="67" spans="1:10" x14ac:dyDescent="0.2">
      <c r="A67" t="s">
        <v>81</v>
      </c>
      <c r="B67">
        <v>2013</v>
      </c>
      <c r="C67">
        <v>240</v>
      </c>
      <c r="D67" t="s">
        <v>34</v>
      </c>
      <c r="E67">
        <f t="shared" ref="E67:E130" si="6">IF(OR(ISNUMBER(FIND("CrABS", D67)), ISNUMBER(FIND("CrULN", D67))), 1, 0)</f>
        <v>1</v>
      </c>
      <c r="F67">
        <f t="shared" ref="F67:F130" si="7">IF(ISNUMBER(FIND("CrCl", D67)), 1, 0)</f>
        <v>0</v>
      </c>
      <c r="G67">
        <f t="shared" ref="G67:G130" si="8">IF(ISNUMBER(FIND("CrULN", D67)), 1, 0)</f>
        <v>1</v>
      </c>
      <c r="H67">
        <f t="shared" ref="H67:H130" si="9">IF(ISNUMBER(FIND("eGFR", D67)), 1, 0)</f>
        <v>0</v>
      </c>
      <c r="I67">
        <f t="shared" ref="I67:I130" si="10">IF(ISNUMBER(FIND("Heterogeneous", D67)), 1, 0)</f>
        <v>0</v>
      </c>
      <c r="J67">
        <f t="shared" ref="J67:J130" si="11">IF(ISNUMBER(FIND("n/a", D67)), 1, 0)</f>
        <v>0</v>
      </c>
    </row>
    <row r="68" spans="1:10" x14ac:dyDescent="0.2">
      <c r="A68" t="s">
        <v>82</v>
      </c>
      <c r="B68">
        <v>2015</v>
      </c>
      <c r="C68">
        <v>243</v>
      </c>
      <c r="D68" t="s">
        <v>11</v>
      </c>
      <c r="E68">
        <f t="shared" si="6"/>
        <v>0</v>
      </c>
      <c r="F68">
        <f t="shared" si="7"/>
        <v>1</v>
      </c>
      <c r="G68">
        <f t="shared" si="8"/>
        <v>0</v>
      </c>
      <c r="H68">
        <f t="shared" si="9"/>
        <v>0</v>
      </c>
      <c r="I68">
        <f t="shared" si="10"/>
        <v>0</v>
      </c>
      <c r="J68">
        <f t="shared" si="11"/>
        <v>0</v>
      </c>
    </row>
    <row r="69" spans="1:10" x14ac:dyDescent="0.2">
      <c r="A69" t="s">
        <v>83</v>
      </c>
      <c r="B69">
        <v>2016</v>
      </c>
      <c r="C69">
        <v>243</v>
      </c>
      <c r="D69" t="s">
        <v>22</v>
      </c>
      <c r="E69">
        <f t="shared" si="6"/>
        <v>1</v>
      </c>
      <c r="F69">
        <f t="shared" si="7"/>
        <v>0</v>
      </c>
      <c r="G69">
        <f t="shared" si="8"/>
        <v>0</v>
      </c>
      <c r="H69">
        <f t="shared" si="9"/>
        <v>0</v>
      </c>
      <c r="I69">
        <f t="shared" si="10"/>
        <v>0</v>
      </c>
      <c r="J69">
        <f t="shared" si="11"/>
        <v>0</v>
      </c>
    </row>
    <row r="70" spans="1:10" x14ac:dyDescent="0.2">
      <c r="A70" t="s">
        <v>84</v>
      </c>
      <c r="B70">
        <v>2017</v>
      </c>
      <c r="C70">
        <v>249</v>
      </c>
      <c r="D70" t="s">
        <v>16</v>
      </c>
      <c r="E70">
        <f t="shared" si="6"/>
        <v>0</v>
      </c>
      <c r="F70">
        <f t="shared" si="7"/>
        <v>0</v>
      </c>
      <c r="G70">
        <f t="shared" si="8"/>
        <v>0</v>
      </c>
      <c r="H70">
        <f t="shared" si="9"/>
        <v>0</v>
      </c>
      <c r="I70">
        <f t="shared" si="10"/>
        <v>1</v>
      </c>
      <c r="J70">
        <f t="shared" si="11"/>
        <v>0</v>
      </c>
    </row>
    <row r="71" spans="1:10" x14ac:dyDescent="0.2">
      <c r="A71" t="s">
        <v>85</v>
      </c>
      <c r="B71">
        <v>2018</v>
      </c>
      <c r="C71">
        <v>252</v>
      </c>
      <c r="D71" t="s">
        <v>11</v>
      </c>
      <c r="E71">
        <f t="shared" si="6"/>
        <v>0</v>
      </c>
      <c r="F71">
        <f t="shared" si="7"/>
        <v>1</v>
      </c>
      <c r="G71">
        <f t="shared" si="8"/>
        <v>0</v>
      </c>
      <c r="H71">
        <f t="shared" si="9"/>
        <v>0</v>
      </c>
      <c r="I71">
        <f t="shared" si="10"/>
        <v>0</v>
      </c>
      <c r="J71">
        <f t="shared" si="11"/>
        <v>0</v>
      </c>
    </row>
    <row r="72" spans="1:10" x14ac:dyDescent="0.2">
      <c r="A72" t="s">
        <v>86</v>
      </c>
      <c r="B72">
        <v>2016</v>
      </c>
      <c r="C72">
        <v>256</v>
      </c>
      <c r="D72" t="s">
        <v>16</v>
      </c>
      <c r="E72">
        <f t="shared" si="6"/>
        <v>0</v>
      </c>
      <c r="F72">
        <f t="shared" si="7"/>
        <v>0</v>
      </c>
      <c r="G72">
        <f t="shared" si="8"/>
        <v>0</v>
      </c>
      <c r="H72">
        <f t="shared" si="9"/>
        <v>0</v>
      </c>
      <c r="I72">
        <f t="shared" si="10"/>
        <v>1</v>
      </c>
      <c r="J72">
        <f t="shared" si="11"/>
        <v>0</v>
      </c>
    </row>
    <row r="73" spans="1:10" x14ac:dyDescent="0.2">
      <c r="A73" t="s">
        <v>87</v>
      </c>
      <c r="B73">
        <v>2016</v>
      </c>
      <c r="C73">
        <v>258</v>
      </c>
      <c r="D73" t="s">
        <v>11</v>
      </c>
      <c r="E73">
        <f t="shared" si="6"/>
        <v>0</v>
      </c>
      <c r="F73">
        <f t="shared" si="7"/>
        <v>1</v>
      </c>
      <c r="G73">
        <f t="shared" si="8"/>
        <v>0</v>
      </c>
      <c r="H73">
        <f t="shared" si="9"/>
        <v>0</v>
      </c>
      <c r="I73">
        <f t="shared" si="10"/>
        <v>0</v>
      </c>
      <c r="J73">
        <f t="shared" si="11"/>
        <v>0</v>
      </c>
    </row>
    <row r="74" spans="1:10" x14ac:dyDescent="0.2">
      <c r="A74" t="s">
        <v>88</v>
      </c>
      <c r="B74">
        <v>2015</v>
      </c>
      <c r="C74">
        <v>258</v>
      </c>
      <c r="D74" t="s">
        <v>16</v>
      </c>
      <c r="E74">
        <f t="shared" si="6"/>
        <v>0</v>
      </c>
      <c r="F74">
        <f t="shared" si="7"/>
        <v>0</v>
      </c>
      <c r="G74">
        <f t="shared" si="8"/>
        <v>0</v>
      </c>
      <c r="H74">
        <f t="shared" si="9"/>
        <v>0</v>
      </c>
      <c r="I74">
        <f t="shared" si="10"/>
        <v>1</v>
      </c>
      <c r="J74">
        <f t="shared" si="11"/>
        <v>0</v>
      </c>
    </row>
    <row r="75" spans="1:10" x14ac:dyDescent="0.2">
      <c r="A75" t="s">
        <v>89</v>
      </c>
      <c r="B75">
        <v>2016</v>
      </c>
      <c r="C75">
        <v>262</v>
      </c>
      <c r="D75" t="s">
        <v>16</v>
      </c>
      <c r="E75">
        <f t="shared" si="6"/>
        <v>0</v>
      </c>
      <c r="F75">
        <f t="shared" si="7"/>
        <v>0</v>
      </c>
      <c r="G75">
        <f t="shared" si="8"/>
        <v>0</v>
      </c>
      <c r="H75">
        <f t="shared" si="9"/>
        <v>0</v>
      </c>
      <c r="I75">
        <f t="shared" si="10"/>
        <v>1</v>
      </c>
      <c r="J75">
        <f t="shared" si="11"/>
        <v>0</v>
      </c>
    </row>
    <row r="76" spans="1:10" x14ac:dyDescent="0.2">
      <c r="A76" t="s">
        <v>90</v>
      </c>
      <c r="B76">
        <v>2015</v>
      </c>
      <c r="C76">
        <v>266</v>
      </c>
      <c r="D76" t="s">
        <v>34</v>
      </c>
      <c r="E76">
        <f t="shared" si="6"/>
        <v>1</v>
      </c>
      <c r="F76">
        <f t="shared" si="7"/>
        <v>0</v>
      </c>
      <c r="G76">
        <f t="shared" si="8"/>
        <v>1</v>
      </c>
      <c r="H76">
        <f t="shared" si="9"/>
        <v>0</v>
      </c>
      <c r="I76">
        <f t="shared" si="10"/>
        <v>0</v>
      </c>
      <c r="J76">
        <f t="shared" si="11"/>
        <v>0</v>
      </c>
    </row>
    <row r="77" spans="1:10" x14ac:dyDescent="0.2">
      <c r="A77" t="s">
        <v>91</v>
      </c>
      <c r="B77">
        <v>2016</v>
      </c>
      <c r="C77">
        <v>275</v>
      </c>
      <c r="D77" t="s">
        <v>34</v>
      </c>
      <c r="E77">
        <f t="shared" si="6"/>
        <v>1</v>
      </c>
      <c r="F77">
        <f t="shared" si="7"/>
        <v>0</v>
      </c>
      <c r="G77">
        <f t="shared" si="8"/>
        <v>1</v>
      </c>
      <c r="H77">
        <f t="shared" si="9"/>
        <v>0</v>
      </c>
      <c r="I77">
        <f t="shared" si="10"/>
        <v>0</v>
      </c>
      <c r="J77">
        <f t="shared" si="11"/>
        <v>0</v>
      </c>
    </row>
    <row r="78" spans="1:10" x14ac:dyDescent="0.2">
      <c r="A78" t="s">
        <v>92</v>
      </c>
      <c r="B78">
        <v>2018</v>
      </c>
      <c r="C78">
        <v>279</v>
      </c>
      <c r="D78" t="s">
        <v>11</v>
      </c>
      <c r="E78">
        <f t="shared" si="6"/>
        <v>0</v>
      </c>
      <c r="F78">
        <f t="shared" si="7"/>
        <v>1</v>
      </c>
      <c r="G78">
        <f t="shared" si="8"/>
        <v>0</v>
      </c>
      <c r="H78">
        <f t="shared" si="9"/>
        <v>0</v>
      </c>
      <c r="I78">
        <f t="shared" si="10"/>
        <v>0</v>
      </c>
      <c r="J78">
        <f t="shared" si="11"/>
        <v>0</v>
      </c>
    </row>
    <row r="79" spans="1:10" x14ac:dyDescent="0.2">
      <c r="A79" t="s">
        <v>93</v>
      </c>
      <c r="B79">
        <v>2017</v>
      </c>
      <c r="C79">
        <v>280</v>
      </c>
      <c r="D79" t="s">
        <v>16</v>
      </c>
      <c r="E79">
        <f t="shared" si="6"/>
        <v>0</v>
      </c>
      <c r="F79">
        <f t="shared" si="7"/>
        <v>0</v>
      </c>
      <c r="G79">
        <f t="shared" si="8"/>
        <v>0</v>
      </c>
      <c r="H79">
        <f t="shared" si="9"/>
        <v>0</v>
      </c>
      <c r="I79">
        <f t="shared" si="10"/>
        <v>1</v>
      </c>
      <c r="J79">
        <f t="shared" si="11"/>
        <v>0</v>
      </c>
    </row>
    <row r="80" spans="1:10" x14ac:dyDescent="0.2">
      <c r="A80" t="s">
        <v>94</v>
      </c>
      <c r="B80">
        <v>2016</v>
      </c>
      <c r="C80">
        <v>291</v>
      </c>
      <c r="D80" t="s">
        <v>11</v>
      </c>
      <c r="E80">
        <f t="shared" si="6"/>
        <v>0</v>
      </c>
      <c r="F80">
        <f t="shared" si="7"/>
        <v>1</v>
      </c>
      <c r="G80">
        <f t="shared" si="8"/>
        <v>0</v>
      </c>
      <c r="H80">
        <f t="shared" si="9"/>
        <v>0</v>
      </c>
      <c r="I80">
        <f t="shared" si="10"/>
        <v>0</v>
      </c>
      <c r="J80">
        <f t="shared" si="11"/>
        <v>0</v>
      </c>
    </row>
    <row r="81" spans="1:10" x14ac:dyDescent="0.2">
      <c r="A81" t="s">
        <v>95</v>
      </c>
      <c r="B81">
        <v>2017</v>
      </c>
      <c r="C81">
        <v>302</v>
      </c>
      <c r="D81" t="s">
        <v>11</v>
      </c>
      <c r="E81">
        <f t="shared" si="6"/>
        <v>0</v>
      </c>
      <c r="F81">
        <f t="shared" si="7"/>
        <v>1</v>
      </c>
      <c r="G81">
        <f t="shared" si="8"/>
        <v>0</v>
      </c>
      <c r="H81">
        <f t="shared" si="9"/>
        <v>0</v>
      </c>
      <c r="I81">
        <f t="shared" si="10"/>
        <v>0</v>
      </c>
      <c r="J81">
        <f t="shared" si="11"/>
        <v>0</v>
      </c>
    </row>
    <row r="82" spans="1:10" x14ac:dyDescent="0.2">
      <c r="A82" t="s">
        <v>96</v>
      </c>
      <c r="B82">
        <v>2014</v>
      </c>
      <c r="C82">
        <v>305</v>
      </c>
      <c r="D82" t="s">
        <v>16</v>
      </c>
      <c r="E82">
        <f t="shared" si="6"/>
        <v>0</v>
      </c>
      <c r="F82">
        <f t="shared" si="7"/>
        <v>0</v>
      </c>
      <c r="G82">
        <f t="shared" si="8"/>
        <v>0</v>
      </c>
      <c r="H82">
        <f t="shared" si="9"/>
        <v>0</v>
      </c>
      <c r="I82">
        <f t="shared" si="10"/>
        <v>1</v>
      </c>
      <c r="J82">
        <f t="shared" si="11"/>
        <v>0</v>
      </c>
    </row>
    <row r="83" spans="1:10" x14ac:dyDescent="0.2">
      <c r="A83" t="s">
        <v>97</v>
      </c>
      <c r="B83">
        <v>2015</v>
      </c>
      <c r="C83">
        <v>307</v>
      </c>
      <c r="D83" t="s">
        <v>16</v>
      </c>
      <c r="E83">
        <f t="shared" si="6"/>
        <v>0</v>
      </c>
      <c r="F83">
        <f t="shared" si="7"/>
        <v>0</v>
      </c>
      <c r="G83">
        <f t="shared" si="8"/>
        <v>0</v>
      </c>
      <c r="H83">
        <f t="shared" si="9"/>
        <v>0</v>
      </c>
      <c r="I83">
        <f t="shared" si="10"/>
        <v>1</v>
      </c>
      <c r="J83">
        <f t="shared" si="11"/>
        <v>0</v>
      </c>
    </row>
    <row r="84" spans="1:10" x14ac:dyDescent="0.2">
      <c r="A84" t="s">
        <v>98</v>
      </c>
      <c r="B84">
        <v>2019</v>
      </c>
      <c r="C84">
        <v>309</v>
      </c>
      <c r="D84" t="s">
        <v>11</v>
      </c>
      <c r="E84">
        <f t="shared" si="6"/>
        <v>0</v>
      </c>
      <c r="F84">
        <f t="shared" si="7"/>
        <v>1</v>
      </c>
      <c r="G84">
        <f t="shared" si="8"/>
        <v>0</v>
      </c>
      <c r="H84">
        <f t="shared" si="9"/>
        <v>0</v>
      </c>
      <c r="I84">
        <f t="shared" si="10"/>
        <v>0</v>
      </c>
      <c r="J84">
        <f t="shared" si="11"/>
        <v>0</v>
      </c>
    </row>
    <row r="85" spans="1:10" x14ac:dyDescent="0.2">
      <c r="A85" t="s">
        <v>99</v>
      </c>
      <c r="B85">
        <v>2017</v>
      </c>
      <c r="C85">
        <v>315</v>
      </c>
      <c r="D85" t="s">
        <v>11</v>
      </c>
      <c r="E85">
        <f t="shared" si="6"/>
        <v>0</v>
      </c>
      <c r="F85">
        <f t="shared" si="7"/>
        <v>1</v>
      </c>
      <c r="G85">
        <f t="shared" si="8"/>
        <v>0</v>
      </c>
      <c r="H85">
        <f t="shared" si="9"/>
        <v>0</v>
      </c>
      <c r="I85">
        <f t="shared" si="10"/>
        <v>0</v>
      </c>
      <c r="J85">
        <f t="shared" si="11"/>
        <v>0</v>
      </c>
    </row>
    <row r="86" spans="1:10" x14ac:dyDescent="0.2">
      <c r="A86" t="s">
        <v>100</v>
      </c>
      <c r="B86">
        <v>2015</v>
      </c>
      <c r="C86">
        <v>326</v>
      </c>
      <c r="D86" t="s">
        <v>22</v>
      </c>
      <c r="E86">
        <f t="shared" si="6"/>
        <v>1</v>
      </c>
      <c r="F86">
        <f t="shared" si="7"/>
        <v>0</v>
      </c>
      <c r="G86">
        <f t="shared" si="8"/>
        <v>0</v>
      </c>
      <c r="H86">
        <f t="shared" si="9"/>
        <v>0</v>
      </c>
      <c r="I86">
        <f t="shared" si="10"/>
        <v>0</v>
      </c>
      <c r="J86">
        <f t="shared" si="11"/>
        <v>0</v>
      </c>
    </row>
    <row r="87" spans="1:10" x14ac:dyDescent="0.2">
      <c r="A87" t="s">
        <v>101</v>
      </c>
      <c r="B87">
        <v>2022</v>
      </c>
      <c r="C87">
        <v>329</v>
      </c>
      <c r="D87" t="s">
        <v>34</v>
      </c>
      <c r="E87">
        <f t="shared" si="6"/>
        <v>1</v>
      </c>
      <c r="F87">
        <f t="shared" si="7"/>
        <v>0</v>
      </c>
      <c r="G87">
        <f t="shared" si="8"/>
        <v>1</v>
      </c>
      <c r="H87">
        <f t="shared" si="9"/>
        <v>0</v>
      </c>
      <c r="I87">
        <f t="shared" si="10"/>
        <v>0</v>
      </c>
      <c r="J87">
        <f t="shared" si="11"/>
        <v>0</v>
      </c>
    </row>
    <row r="88" spans="1:10" x14ac:dyDescent="0.2">
      <c r="A88" t="s">
        <v>102</v>
      </c>
      <c r="B88">
        <v>2014</v>
      </c>
      <c r="C88">
        <v>330</v>
      </c>
      <c r="D88" t="s">
        <v>11</v>
      </c>
      <c r="E88">
        <f t="shared" si="6"/>
        <v>0</v>
      </c>
      <c r="F88">
        <f t="shared" si="7"/>
        <v>1</v>
      </c>
      <c r="G88">
        <f t="shared" si="8"/>
        <v>0</v>
      </c>
      <c r="H88">
        <f t="shared" si="9"/>
        <v>0</v>
      </c>
      <c r="I88">
        <f t="shared" si="10"/>
        <v>0</v>
      </c>
      <c r="J88">
        <f t="shared" si="11"/>
        <v>0</v>
      </c>
    </row>
    <row r="89" spans="1:10" x14ac:dyDescent="0.2">
      <c r="A89" t="s">
        <v>103</v>
      </c>
      <c r="B89">
        <v>2017</v>
      </c>
      <c r="C89">
        <v>333</v>
      </c>
      <c r="D89" t="s">
        <v>11</v>
      </c>
      <c r="E89">
        <f t="shared" si="6"/>
        <v>0</v>
      </c>
      <c r="F89">
        <f t="shared" si="7"/>
        <v>1</v>
      </c>
      <c r="G89">
        <f t="shared" si="8"/>
        <v>0</v>
      </c>
      <c r="H89">
        <f t="shared" si="9"/>
        <v>0</v>
      </c>
      <c r="I89">
        <f t="shared" si="10"/>
        <v>0</v>
      </c>
      <c r="J89">
        <f t="shared" si="11"/>
        <v>0</v>
      </c>
    </row>
    <row r="90" spans="1:10" x14ac:dyDescent="0.2">
      <c r="A90" t="s">
        <v>104</v>
      </c>
      <c r="B90">
        <v>2019</v>
      </c>
      <c r="C90">
        <v>338</v>
      </c>
      <c r="D90" t="s">
        <v>13</v>
      </c>
      <c r="E90">
        <f t="shared" si="6"/>
        <v>0</v>
      </c>
      <c r="F90">
        <f t="shared" si="7"/>
        <v>0</v>
      </c>
      <c r="G90">
        <f t="shared" si="8"/>
        <v>0</v>
      </c>
      <c r="H90">
        <f t="shared" si="9"/>
        <v>0</v>
      </c>
      <c r="I90">
        <f t="shared" si="10"/>
        <v>0</v>
      </c>
      <c r="J90">
        <f t="shared" si="11"/>
        <v>1</v>
      </c>
    </row>
    <row r="91" spans="1:10" x14ac:dyDescent="0.2">
      <c r="A91" t="s">
        <v>105</v>
      </c>
      <c r="B91">
        <v>2016</v>
      </c>
      <c r="C91">
        <v>342</v>
      </c>
      <c r="D91" t="s">
        <v>16</v>
      </c>
      <c r="E91">
        <f t="shared" si="6"/>
        <v>0</v>
      </c>
      <c r="F91">
        <f t="shared" si="7"/>
        <v>0</v>
      </c>
      <c r="G91">
        <f t="shared" si="8"/>
        <v>0</v>
      </c>
      <c r="H91">
        <f t="shared" si="9"/>
        <v>0</v>
      </c>
      <c r="I91">
        <f t="shared" si="10"/>
        <v>1</v>
      </c>
      <c r="J91">
        <f t="shared" si="11"/>
        <v>0</v>
      </c>
    </row>
    <row r="92" spans="1:10" x14ac:dyDescent="0.2">
      <c r="A92" t="s">
        <v>106</v>
      </c>
      <c r="B92">
        <v>2017</v>
      </c>
      <c r="C92">
        <v>349</v>
      </c>
      <c r="D92" t="s">
        <v>16</v>
      </c>
      <c r="E92">
        <f t="shared" si="6"/>
        <v>0</v>
      </c>
      <c r="F92">
        <f t="shared" si="7"/>
        <v>0</v>
      </c>
      <c r="G92">
        <f t="shared" si="8"/>
        <v>0</v>
      </c>
      <c r="H92">
        <f t="shared" si="9"/>
        <v>0</v>
      </c>
      <c r="I92">
        <f t="shared" si="10"/>
        <v>1</v>
      </c>
      <c r="J92">
        <f t="shared" si="11"/>
        <v>0</v>
      </c>
    </row>
    <row r="93" spans="1:10" x14ac:dyDescent="0.2">
      <c r="A93" t="s">
        <v>107</v>
      </c>
      <c r="B93">
        <v>2016</v>
      </c>
      <c r="C93">
        <v>350</v>
      </c>
      <c r="D93" t="s">
        <v>16</v>
      </c>
      <c r="E93">
        <f t="shared" si="6"/>
        <v>0</v>
      </c>
      <c r="F93">
        <f t="shared" si="7"/>
        <v>0</v>
      </c>
      <c r="G93">
        <f t="shared" si="8"/>
        <v>0</v>
      </c>
      <c r="H93">
        <f t="shared" si="9"/>
        <v>0</v>
      </c>
      <c r="I93">
        <f t="shared" si="10"/>
        <v>1</v>
      </c>
      <c r="J93">
        <f t="shared" si="11"/>
        <v>0</v>
      </c>
    </row>
    <row r="94" spans="1:10" x14ac:dyDescent="0.2">
      <c r="A94" t="s">
        <v>108</v>
      </c>
      <c r="B94">
        <v>2018</v>
      </c>
      <c r="C94">
        <v>357</v>
      </c>
      <c r="D94" t="s">
        <v>11</v>
      </c>
      <c r="E94">
        <f t="shared" si="6"/>
        <v>0</v>
      </c>
      <c r="F94">
        <f t="shared" si="7"/>
        <v>1</v>
      </c>
      <c r="G94">
        <f t="shared" si="8"/>
        <v>0</v>
      </c>
      <c r="H94">
        <f t="shared" si="9"/>
        <v>0</v>
      </c>
      <c r="I94">
        <f t="shared" si="10"/>
        <v>0</v>
      </c>
      <c r="J94">
        <f t="shared" si="11"/>
        <v>0</v>
      </c>
    </row>
    <row r="95" spans="1:10" x14ac:dyDescent="0.2">
      <c r="A95" t="s">
        <v>109</v>
      </c>
      <c r="B95">
        <v>2013</v>
      </c>
      <c r="C95">
        <v>358</v>
      </c>
      <c r="D95" t="s">
        <v>11</v>
      </c>
      <c r="E95">
        <f t="shared" si="6"/>
        <v>0</v>
      </c>
      <c r="F95">
        <f t="shared" si="7"/>
        <v>1</v>
      </c>
      <c r="G95">
        <f t="shared" si="8"/>
        <v>0</v>
      </c>
      <c r="H95">
        <f t="shared" si="9"/>
        <v>0</v>
      </c>
      <c r="I95">
        <f t="shared" si="10"/>
        <v>0</v>
      </c>
      <c r="J95">
        <f t="shared" si="11"/>
        <v>0</v>
      </c>
    </row>
    <row r="96" spans="1:10" x14ac:dyDescent="0.2">
      <c r="A96" t="s">
        <v>110</v>
      </c>
      <c r="B96">
        <v>2018</v>
      </c>
      <c r="C96">
        <v>360</v>
      </c>
      <c r="D96" t="s">
        <v>16</v>
      </c>
      <c r="E96">
        <f t="shared" si="6"/>
        <v>0</v>
      </c>
      <c r="F96">
        <f t="shared" si="7"/>
        <v>0</v>
      </c>
      <c r="G96">
        <f t="shared" si="8"/>
        <v>0</v>
      </c>
      <c r="H96">
        <f t="shared" si="9"/>
        <v>0</v>
      </c>
      <c r="I96">
        <f t="shared" si="10"/>
        <v>1</v>
      </c>
      <c r="J96">
        <f t="shared" si="11"/>
        <v>0</v>
      </c>
    </row>
    <row r="97" spans="1:10" x14ac:dyDescent="0.2">
      <c r="A97" t="s">
        <v>111</v>
      </c>
      <c r="B97">
        <v>2014</v>
      </c>
      <c r="C97">
        <v>361</v>
      </c>
      <c r="D97" t="s">
        <v>16</v>
      </c>
      <c r="E97">
        <f t="shared" si="6"/>
        <v>0</v>
      </c>
      <c r="F97">
        <f t="shared" si="7"/>
        <v>0</v>
      </c>
      <c r="G97">
        <f t="shared" si="8"/>
        <v>0</v>
      </c>
      <c r="H97">
        <f t="shared" si="9"/>
        <v>0</v>
      </c>
      <c r="I97">
        <f t="shared" si="10"/>
        <v>1</v>
      </c>
      <c r="J97">
        <f t="shared" si="11"/>
        <v>0</v>
      </c>
    </row>
    <row r="98" spans="1:10" x14ac:dyDescent="0.2">
      <c r="A98" t="s">
        <v>112</v>
      </c>
      <c r="B98">
        <v>2016</v>
      </c>
      <c r="C98">
        <v>363</v>
      </c>
      <c r="D98" t="s">
        <v>11</v>
      </c>
      <c r="E98">
        <f t="shared" si="6"/>
        <v>0</v>
      </c>
      <c r="F98">
        <f t="shared" si="7"/>
        <v>1</v>
      </c>
      <c r="G98">
        <f t="shared" si="8"/>
        <v>0</v>
      </c>
      <c r="H98">
        <f t="shared" si="9"/>
        <v>0</v>
      </c>
      <c r="I98">
        <f t="shared" si="10"/>
        <v>0</v>
      </c>
      <c r="J98">
        <f t="shared" si="11"/>
        <v>0</v>
      </c>
    </row>
    <row r="99" spans="1:10" x14ac:dyDescent="0.2">
      <c r="A99" t="s">
        <v>113</v>
      </c>
      <c r="B99">
        <v>2016</v>
      </c>
      <c r="C99">
        <v>363</v>
      </c>
      <c r="D99" t="s">
        <v>16</v>
      </c>
      <c r="E99">
        <f t="shared" si="6"/>
        <v>0</v>
      </c>
      <c r="F99">
        <f t="shared" si="7"/>
        <v>0</v>
      </c>
      <c r="G99">
        <f t="shared" si="8"/>
        <v>0</v>
      </c>
      <c r="H99">
        <f t="shared" si="9"/>
        <v>0</v>
      </c>
      <c r="I99">
        <f t="shared" si="10"/>
        <v>1</v>
      </c>
      <c r="J99">
        <f t="shared" si="11"/>
        <v>0</v>
      </c>
    </row>
    <row r="100" spans="1:10" x14ac:dyDescent="0.2">
      <c r="A100" t="s">
        <v>114</v>
      </c>
      <c r="B100">
        <v>2016</v>
      </c>
      <c r="C100">
        <v>366</v>
      </c>
      <c r="D100" t="s">
        <v>16</v>
      </c>
      <c r="E100">
        <f t="shared" si="6"/>
        <v>0</v>
      </c>
      <c r="F100">
        <f t="shared" si="7"/>
        <v>0</v>
      </c>
      <c r="G100">
        <f t="shared" si="8"/>
        <v>0</v>
      </c>
      <c r="H100">
        <f t="shared" si="9"/>
        <v>0</v>
      </c>
      <c r="I100">
        <f t="shared" si="10"/>
        <v>1</v>
      </c>
      <c r="J100">
        <f t="shared" si="11"/>
        <v>0</v>
      </c>
    </row>
    <row r="101" spans="1:10" x14ac:dyDescent="0.2">
      <c r="A101" t="s">
        <v>115</v>
      </c>
      <c r="B101">
        <v>2014</v>
      </c>
      <c r="C101">
        <v>367</v>
      </c>
      <c r="D101" t="s">
        <v>16</v>
      </c>
      <c r="E101">
        <f t="shared" si="6"/>
        <v>0</v>
      </c>
      <c r="F101">
        <f t="shared" si="7"/>
        <v>0</v>
      </c>
      <c r="G101">
        <f t="shared" si="8"/>
        <v>0</v>
      </c>
      <c r="H101">
        <f t="shared" si="9"/>
        <v>0</v>
      </c>
      <c r="I101">
        <f t="shared" si="10"/>
        <v>1</v>
      </c>
      <c r="J101">
        <f t="shared" si="11"/>
        <v>0</v>
      </c>
    </row>
    <row r="102" spans="1:10" x14ac:dyDescent="0.2">
      <c r="A102" t="s">
        <v>116</v>
      </c>
      <c r="B102">
        <v>2017</v>
      </c>
      <c r="C102">
        <v>367</v>
      </c>
      <c r="D102" t="s">
        <v>16</v>
      </c>
      <c r="E102">
        <f t="shared" si="6"/>
        <v>0</v>
      </c>
      <c r="F102">
        <f t="shared" si="7"/>
        <v>0</v>
      </c>
      <c r="G102">
        <f t="shared" si="8"/>
        <v>0</v>
      </c>
      <c r="H102">
        <f t="shared" si="9"/>
        <v>0</v>
      </c>
      <c r="I102">
        <f t="shared" si="10"/>
        <v>1</v>
      </c>
      <c r="J102">
        <f t="shared" si="11"/>
        <v>0</v>
      </c>
    </row>
    <row r="103" spans="1:10" x14ac:dyDescent="0.2">
      <c r="A103" t="s">
        <v>117</v>
      </c>
      <c r="B103">
        <v>2015</v>
      </c>
      <c r="C103">
        <v>371</v>
      </c>
      <c r="D103" t="s">
        <v>11</v>
      </c>
      <c r="E103">
        <f t="shared" si="6"/>
        <v>0</v>
      </c>
      <c r="F103">
        <f t="shared" si="7"/>
        <v>1</v>
      </c>
      <c r="G103">
        <f t="shared" si="8"/>
        <v>0</v>
      </c>
      <c r="H103">
        <f t="shared" si="9"/>
        <v>0</v>
      </c>
      <c r="I103">
        <f t="shared" si="10"/>
        <v>0</v>
      </c>
      <c r="J103">
        <f t="shared" si="11"/>
        <v>0</v>
      </c>
    </row>
    <row r="104" spans="1:10" x14ac:dyDescent="0.2">
      <c r="A104" t="s">
        <v>118</v>
      </c>
      <c r="B104">
        <v>2016</v>
      </c>
      <c r="C104">
        <v>387</v>
      </c>
      <c r="D104" t="s">
        <v>16</v>
      </c>
      <c r="E104">
        <f t="shared" si="6"/>
        <v>0</v>
      </c>
      <c r="F104">
        <f t="shared" si="7"/>
        <v>0</v>
      </c>
      <c r="G104">
        <f t="shared" si="8"/>
        <v>0</v>
      </c>
      <c r="H104">
        <f t="shared" si="9"/>
        <v>0</v>
      </c>
      <c r="I104">
        <f t="shared" si="10"/>
        <v>1</v>
      </c>
      <c r="J104">
        <f t="shared" si="11"/>
        <v>0</v>
      </c>
    </row>
    <row r="105" spans="1:10" x14ac:dyDescent="0.2">
      <c r="A105" t="s">
        <v>119</v>
      </c>
      <c r="B105">
        <v>2017</v>
      </c>
      <c r="C105">
        <v>387</v>
      </c>
      <c r="D105" t="s">
        <v>11</v>
      </c>
      <c r="E105">
        <f t="shared" si="6"/>
        <v>0</v>
      </c>
      <c r="F105">
        <f t="shared" si="7"/>
        <v>1</v>
      </c>
      <c r="G105">
        <f t="shared" si="8"/>
        <v>0</v>
      </c>
      <c r="H105">
        <f t="shared" si="9"/>
        <v>0</v>
      </c>
      <c r="I105">
        <f t="shared" si="10"/>
        <v>0</v>
      </c>
      <c r="J105">
        <f t="shared" si="11"/>
        <v>0</v>
      </c>
    </row>
    <row r="106" spans="1:10" x14ac:dyDescent="0.2">
      <c r="A106" t="s">
        <v>120</v>
      </c>
      <c r="B106">
        <v>2014</v>
      </c>
      <c r="C106">
        <v>389</v>
      </c>
      <c r="D106" t="s">
        <v>11</v>
      </c>
      <c r="E106">
        <f t="shared" si="6"/>
        <v>0</v>
      </c>
      <c r="F106">
        <f t="shared" si="7"/>
        <v>1</v>
      </c>
      <c r="G106">
        <f t="shared" si="8"/>
        <v>0</v>
      </c>
      <c r="H106">
        <f t="shared" si="9"/>
        <v>0</v>
      </c>
      <c r="I106">
        <f t="shared" si="10"/>
        <v>0</v>
      </c>
      <c r="J106">
        <f t="shared" si="11"/>
        <v>0</v>
      </c>
    </row>
    <row r="107" spans="1:10" x14ac:dyDescent="0.2">
      <c r="A107" t="s">
        <v>121</v>
      </c>
      <c r="B107">
        <v>2014</v>
      </c>
      <c r="C107">
        <v>394</v>
      </c>
      <c r="D107" t="s">
        <v>13</v>
      </c>
      <c r="E107">
        <f t="shared" si="6"/>
        <v>0</v>
      </c>
      <c r="F107">
        <f t="shared" si="7"/>
        <v>0</v>
      </c>
      <c r="G107">
        <f t="shared" si="8"/>
        <v>0</v>
      </c>
      <c r="H107">
        <f t="shared" si="9"/>
        <v>0</v>
      </c>
      <c r="I107">
        <f t="shared" si="10"/>
        <v>0</v>
      </c>
      <c r="J107">
        <f t="shared" si="11"/>
        <v>1</v>
      </c>
    </row>
    <row r="108" spans="1:10" x14ac:dyDescent="0.2">
      <c r="A108" t="s">
        <v>122</v>
      </c>
      <c r="B108">
        <v>2018</v>
      </c>
      <c r="C108">
        <v>397</v>
      </c>
      <c r="D108" t="s">
        <v>16</v>
      </c>
      <c r="E108">
        <f t="shared" si="6"/>
        <v>0</v>
      </c>
      <c r="F108">
        <f t="shared" si="7"/>
        <v>0</v>
      </c>
      <c r="G108">
        <f t="shared" si="8"/>
        <v>0</v>
      </c>
      <c r="H108">
        <f t="shared" si="9"/>
        <v>0</v>
      </c>
      <c r="I108">
        <f t="shared" si="10"/>
        <v>1</v>
      </c>
      <c r="J108">
        <f t="shared" si="11"/>
        <v>0</v>
      </c>
    </row>
    <row r="109" spans="1:10" x14ac:dyDescent="0.2">
      <c r="A109" t="s">
        <v>123</v>
      </c>
      <c r="B109">
        <v>2015</v>
      </c>
      <c r="C109">
        <v>399</v>
      </c>
      <c r="D109" t="s">
        <v>16</v>
      </c>
      <c r="E109">
        <f t="shared" si="6"/>
        <v>0</v>
      </c>
      <c r="F109">
        <f t="shared" si="7"/>
        <v>0</v>
      </c>
      <c r="G109">
        <f t="shared" si="8"/>
        <v>0</v>
      </c>
      <c r="H109">
        <f t="shared" si="9"/>
        <v>0</v>
      </c>
      <c r="I109">
        <f t="shared" si="10"/>
        <v>1</v>
      </c>
      <c r="J109">
        <f t="shared" si="11"/>
        <v>0</v>
      </c>
    </row>
    <row r="110" spans="1:10" x14ac:dyDescent="0.2">
      <c r="A110" t="s">
        <v>124</v>
      </c>
      <c r="B110">
        <v>2014</v>
      </c>
      <c r="C110">
        <v>403</v>
      </c>
      <c r="D110" t="s">
        <v>16</v>
      </c>
      <c r="E110">
        <f t="shared" si="6"/>
        <v>0</v>
      </c>
      <c r="F110">
        <f t="shared" si="7"/>
        <v>0</v>
      </c>
      <c r="G110">
        <f t="shared" si="8"/>
        <v>0</v>
      </c>
      <c r="H110">
        <f t="shared" si="9"/>
        <v>0</v>
      </c>
      <c r="I110">
        <f t="shared" si="10"/>
        <v>1</v>
      </c>
      <c r="J110">
        <f t="shared" si="11"/>
        <v>0</v>
      </c>
    </row>
    <row r="111" spans="1:10" x14ac:dyDescent="0.2">
      <c r="A111" t="s">
        <v>125</v>
      </c>
      <c r="B111">
        <v>2016</v>
      </c>
      <c r="C111">
        <v>413</v>
      </c>
      <c r="D111" t="s">
        <v>22</v>
      </c>
      <c r="E111">
        <f t="shared" si="6"/>
        <v>1</v>
      </c>
      <c r="F111">
        <f t="shared" si="7"/>
        <v>0</v>
      </c>
      <c r="G111">
        <f t="shared" si="8"/>
        <v>0</v>
      </c>
      <c r="H111">
        <f t="shared" si="9"/>
        <v>0</v>
      </c>
      <c r="I111">
        <f t="shared" si="10"/>
        <v>0</v>
      </c>
      <c r="J111">
        <f t="shared" si="11"/>
        <v>0</v>
      </c>
    </row>
    <row r="112" spans="1:10" x14ac:dyDescent="0.2">
      <c r="A112" t="s">
        <v>126</v>
      </c>
      <c r="B112">
        <v>2017</v>
      </c>
      <c r="C112">
        <v>417</v>
      </c>
      <c r="D112" t="s">
        <v>11</v>
      </c>
      <c r="E112">
        <f t="shared" si="6"/>
        <v>0</v>
      </c>
      <c r="F112">
        <f t="shared" si="7"/>
        <v>1</v>
      </c>
      <c r="G112">
        <f t="shared" si="8"/>
        <v>0</v>
      </c>
      <c r="H112">
        <f t="shared" si="9"/>
        <v>0</v>
      </c>
      <c r="I112">
        <f t="shared" si="10"/>
        <v>0</v>
      </c>
      <c r="J112">
        <f t="shared" si="11"/>
        <v>0</v>
      </c>
    </row>
    <row r="113" spans="1:10" x14ac:dyDescent="0.2">
      <c r="A113" t="s">
        <v>127</v>
      </c>
      <c r="B113">
        <v>2015</v>
      </c>
      <c r="C113">
        <v>424</v>
      </c>
      <c r="D113" t="s">
        <v>11</v>
      </c>
      <c r="E113">
        <f t="shared" si="6"/>
        <v>0</v>
      </c>
      <c r="F113">
        <f t="shared" si="7"/>
        <v>1</v>
      </c>
      <c r="G113">
        <f t="shared" si="8"/>
        <v>0</v>
      </c>
      <c r="H113">
        <f t="shared" si="9"/>
        <v>0</v>
      </c>
      <c r="I113">
        <f t="shared" si="10"/>
        <v>0</v>
      </c>
      <c r="J113">
        <f t="shared" si="11"/>
        <v>0</v>
      </c>
    </row>
    <row r="114" spans="1:10" x14ac:dyDescent="0.2">
      <c r="A114" t="s">
        <v>128</v>
      </c>
      <c r="B114">
        <v>2016</v>
      </c>
      <c r="C114">
        <v>425</v>
      </c>
      <c r="D114" t="s">
        <v>11</v>
      </c>
      <c r="E114">
        <f t="shared" si="6"/>
        <v>0</v>
      </c>
      <c r="F114">
        <f t="shared" si="7"/>
        <v>1</v>
      </c>
      <c r="G114">
        <f t="shared" si="8"/>
        <v>0</v>
      </c>
      <c r="H114">
        <f t="shared" si="9"/>
        <v>0</v>
      </c>
      <c r="I114">
        <f t="shared" si="10"/>
        <v>0</v>
      </c>
      <c r="J114">
        <f t="shared" si="11"/>
        <v>0</v>
      </c>
    </row>
    <row r="115" spans="1:10" x14ac:dyDescent="0.2">
      <c r="A115" t="s">
        <v>129</v>
      </c>
      <c r="B115">
        <v>2015</v>
      </c>
      <c r="C115">
        <v>432</v>
      </c>
      <c r="D115" t="s">
        <v>11</v>
      </c>
      <c r="E115">
        <f t="shared" si="6"/>
        <v>0</v>
      </c>
      <c r="F115">
        <f t="shared" si="7"/>
        <v>1</v>
      </c>
      <c r="G115">
        <f t="shared" si="8"/>
        <v>0</v>
      </c>
      <c r="H115">
        <f t="shared" si="9"/>
        <v>0</v>
      </c>
      <c r="I115">
        <f t="shared" si="10"/>
        <v>0</v>
      </c>
      <c r="J115">
        <f t="shared" si="11"/>
        <v>0</v>
      </c>
    </row>
    <row r="116" spans="1:10" x14ac:dyDescent="0.2">
      <c r="A116" t="s">
        <v>130</v>
      </c>
      <c r="B116">
        <v>2017</v>
      </c>
      <c r="C116">
        <v>437</v>
      </c>
      <c r="D116" t="s">
        <v>34</v>
      </c>
      <c r="E116">
        <f t="shared" si="6"/>
        <v>1</v>
      </c>
      <c r="F116">
        <f t="shared" si="7"/>
        <v>0</v>
      </c>
      <c r="G116">
        <f t="shared" si="8"/>
        <v>1</v>
      </c>
      <c r="H116">
        <f t="shared" si="9"/>
        <v>0</v>
      </c>
      <c r="I116">
        <f t="shared" si="10"/>
        <v>0</v>
      </c>
      <c r="J116">
        <f t="shared" si="11"/>
        <v>0</v>
      </c>
    </row>
    <row r="117" spans="1:10" x14ac:dyDescent="0.2">
      <c r="A117" t="s">
        <v>131</v>
      </c>
      <c r="B117">
        <v>2017</v>
      </c>
      <c r="C117">
        <v>440</v>
      </c>
      <c r="D117" t="s">
        <v>11</v>
      </c>
      <c r="E117">
        <f t="shared" si="6"/>
        <v>0</v>
      </c>
      <c r="F117">
        <f t="shared" si="7"/>
        <v>1</v>
      </c>
      <c r="G117">
        <f t="shared" si="8"/>
        <v>0</v>
      </c>
      <c r="H117">
        <f t="shared" si="9"/>
        <v>0</v>
      </c>
      <c r="I117">
        <f t="shared" si="10"/>
        <v>0</v>
      </c>
      <c r="J117">
        <f t="shared" si="11"/>
        <v>0</v>
      </c>
    </row>
    <row r="118" spans="1:10" x14ac:dyDescent="0.2">
      <c r="A118" t="s">
        <v>132</v>
      </c>
      <c r="B118">
        <v>2016</v>
      </c>
      <c r="C118">
        <v>441</v>
      </c>
      <c r="D118" t="s">
        <v>11</v>
      </c>
      <c r="E118">
        <f t="shared" si="6"/>
        <v>0</v>
      </c>
      <c r="F118">
        <f t="shared" si="7"/>
        <v>1</v>
      </c>
      <c r="G118">
        <f t="shared" si="8"/>
        <v>0</v>
      </c>
      <c r="H118">
        <f t="shared" si="9"/>
        <v>0</v>
      </c>
      <c r="I118">
        <f t="shared" si="10"/>
        <v>0</v>
      </c>
      <c r="J118">
        <f t="shared" si="11"/>
        <v>0</v>
      </c>
    </row>
    <row r="119" spans="1:10" x14ac:dyDescent="0.2">
      <c r="A119" t="s">
        <v>133</v>
      </c>
      <c r="B119">
        <v>2015</v>
      </c>
      <c r="C119">
        <v>442</v>
      </c>
      <c r="D119" t="s">
        <v>11</v>
      </c>
      <c r="E119">
        <f t="shared" si="6"/>
        <v>0</v>
      </c>
      <c r="F119">
        <f t="shared" si="7"/>
        <v>1</v>
      </c>
      <c r="G119">
        <f t="shared" si="8"/>
        <v>0</v>
      </c>
      <c r="H119">
        <f t="shared" si="9"/>
        <v>0</v>
      </c>
      <c r="I119">
        <f t="shared" si="10"/>
        <v>0</v>
      </c>
      <c r="J119">
        <f t="shared" si="11"/>
        <v>0</v>
      </c>
    </row>
    <row r="120" spans="1:10" x14ac:dyDescent="0.2">
      <c r="A120" t="s">
        <v>134</v>
      </c>
      <c r="B120">
        <v>2014</v>
      </c>
      <c r="C120">
        <v>444</v>
      </c>
      <c r="D120" t="s">
        <v>34</v>
      </c>
      <c r="E120">
        <f t="shared" si="6"/>
        <v>1</v>
      </c>
      <c r="F120">
        <f t="shared" si="7"/>
        <v>0</v>
      </c>
      <c r="G120">
        <f t="shared" si="8"/>
        <v>1</v>
      </c>
      <c r="H120">
        <f t="shared" si="9"/>
        <v>0</v>
      </c>
      <c r="I120">
        <f t="shared" si="10"/>
        <v>0</v>
      </c>
      <c r="J120">
        <f t="shared" si="11"/>
        <v>0</v>
      </c>
    </row>
    <row r="121" spans="1:10" x14ac:dyDescent="0.2">
      <c r="A121" t="s">
        <v>135</v>
      </c>
      <c r="B121">
        <v>2017</v>
      </c>
      <c r="C121">
        <v>444</v>
      </c>
      <c r="D121" t="s">
        <v>11</v>
      </c>
      <c r="E121">
        <f t="shared" si="6"/>
        <v>0</v>
      </c>
      <c r="F121">
        <f t="shared" si="7"/>
        <v>1</v>
      </c>
      <c r="G121">
        <f t="shared" si="8"/>
        <v>0</v>
      </c>
      <c r="H121">
        <f t="shared" si="9"/>
        <v>0</v>
      </c>
      <c r="I121">
        <f t="shared" si="10"/>
        <v>0</v>
      </c>
      <c r="J121">
        <f t="shared" si="11"/>
        <v>0</v>
      </c>
    </row>
    <row r="122" spans="1:10" x14ac:dyDescent="0.2">
      <c r="A122" t="s">
        <v>136</v>
      </c>
      <c r="B122">
        <v>2017</v>
      </c>
      <c r="C122">
        <v>453</v>
      </c>
      <c r="D122" t="s">
        <v>16</v>
      </c>
      <c r="E122">
        <f t="shared" si="6"/>
        <v>0</v>
      </c>
      <c r="F122">
        <f t="shared" si="7"/>
        <v>0</v>
      </c>
      <c r="G122">
        <f t="shared" si="8"/>
        <v>0</v>
      </c>
      <c r="H122">
        <f t="shared" si="9"/>
        <v>0</v>
      </c>
      <c r="I122">
        <f t="shared" si="10"/>
        <v>1</v>
      </c>
      <c r="J122">
        <f t="shared" si="11"/>
        <v>0</v>
      </c>
    </row>
    <row r="123" spans="1:10" x14ac:dyDescent="0.2">
      <c r="A123" t="s">
        <v>137</v>
      </c>
      <c r="B123">
        <v>2017</v>
      </c>
      <c r="C123">
        <v>453</v>
      </c>
      <c r="D123" t="s">
        <v>16</v>
      </c>
      <c r="E123">
        <f t="shared" si="6"/>
        <v>0</v>
      </c>
      <c r="F123">
        <f t="shared" si="7"/>
        <v>0</v>
      </c>
      <c r="G123">
        <f t="shared" si="8"/>
        <v>0</v>
      </c>
      <c r="H123">
        <f t="shared" si="9"/>
        <v>0</v>
      </c>
      <c r="I123">
        <f t="shared" si="10"/>
        <v>1</v>
      </c>
      <c r="J123">
        <f t="shared" si="11"/>
        <v>0</v>
      </c>
    </row>
    <row r="124" spans="1:10" x14ac:dyDescent="0.2">
      <c r="A124" t="s">
        <v>138</v>
      </c>
      <c r="B124">
        <v>2019</v>
      </c>
      <c r="C124">
        <v>454</v>
      </c>
      <c r="D124" t="s">
        <v>11</v>
      </c>
      <c r="E124">
        <f t="shared" si="6"/>
        <v>0</v>
      </c>
      <c r="F124">
        <f t="shared" si="7"/>
        <v>1</v>
      </c>
      <c r="G124">
        <f t="shared" si="8"/>
        <v>0</v>
      </c>
      <c r="H124">
        <f t="shared" si="9"/>
        <v>0</v>
      </c>
      <c r="I124">
        <f t="shared" si="10"/>
        <v>0</v>
      </c>
      <c r="J124">
        <f t="shared" si="11"/>
        <v>0</v>
      </c>
    </row>
    <row r="125" spans="1:10" x14ac:dyDescent="0.2">
      <c r="A125" t="s">
        <v>139</v>
      </c>
      <c r="B125">
        <v>2014</v>
      </c>
      <c r="C125">
        <v>459</v>
      </c>
      <c r="D125" t="s">
        <v>11</v>
      </c>
      <c r="E125">
        <f t="shared" si="6"/>
        <v>0</v>
      </c>
      <c r="F125">
        <f t="shared" si="7"/>
        <v>1</v>
      </c>
      <c r="G125">
        <f t="shared" si="8"/>
        <v>0</v>
      </c>
      <c r="H125">
        <f t="shared" si="9"/>
        <v>0</v>
      </c>
      <c r="I125">
        <f t="shared" si="10"/>
        <v>0</v>
      </c>
      <c r="J125">
        <f t="shared" si="11"/>
        <v>0</v>
      </c>
    </row>
    <row r="126" spans="1:10" x14ac:dyDescent="0.2">
      <c r="A126" t="s">
        <v>140</v>
      </c>
      <c r="B126">
        <v>2015</v>
      </c>
      <c r="C126">
        <v>459</v>
      </c>
      <c r="D126" t="s">
        <v>11</v>
      </c>
      <c r="E126">
        <f t="shared" si="6"/>
        <v>0</v>
      </c>
      <c r="F126">
        <f t="shared" si="7"/>
        <v>1</v>
      </c>
      <c r="G126">
        <f t="shared" si="8"/>
        <v>0</v>
      </c>
      <c r="H126">
        <f t="shared" si="9"/>
        <v>0</v>
      </c>
      <c r="I126">
        <f t="shared" si="10"/>
        <v>0</v>
      </c>
      <c r="J126">
        <f t="shared" si="11"/>
        <v>0</v>
      </c>
    </row>
    <row r="127" spans="1:10" x14ac:dyDescent="0.2">
      <c r="A127" t="s">
        <v>141</v>
      </c>
      <c r="B127">
        <v>2017</v>
      </c>
      <c r="C127">
        <v>460</v>
      </c>
      <c r="D127" t="s">
        <v>16</v>
      </c>
      <c r="E127">
        <f t="shared" si="6"/>
        <v>0</v>
      </c>
      <c r="F127">
        <f t="shared" si="7"/>
        <v>0</v>
      </c>
      <c r="G127">
        <f t="shared" si="8"/>
        <v>0</v>
      </c>
      <c r="H127">
        <f t="shared" si="9"/>
        <v>0</v>
      </c>
      <c r="I127">
        <f t="shared" si="10"/>
        <v>1</v>
      </c>
      <c r="J127">
        <f t="shared" si="11"/>
        <v>0</v>
      </c>
    </row>
    <row r="128" spans="1:10" x14ac:dyDescent="0.2">
      <c r="A128" t="s">
        <v>142</v>
      </c>
      <c r="B128">
        <v>2017</v>
      </c>
      <c r="C128">
        <v>466</v>
      </c>
      <c r="D128" t="s">
        <v>11</v>
      </c>
      <c r="E128">
        <f t="shared" si="6"/>
        <v>0</v>
      </c>
      <c r="F128">
        <f t="shared" si="7"/>
        <v>1</v>
      </c>
      <c r="G128">
        <f t="shared" si="8"/>
        <v>0</v>
      </c>
      <c r="H128">
        <f t="shared" si="9"/>
        <v>0</v>
      </c>
      <c r="I128">
        <f t="shared" si="10"/>
        <v>0</v>
      </c>
      <c r="J128">
        <f t="shared" si="11"/>
        <v>0</v>
      </c>
    </row>
    <row r="129" spans="1:10" x14ac:dyDescent="0.2">
      <c r="A129" t="s">
        <v>143</v>
      </c>
      <c r="B129">
        <v>2018</v>
      </c>
      <c r="C129">
        <v>476</v>
      </c>
      <c r="D129" t="s">
        <v>11</v>
      </c>
      <c r="E129">
        <f t="shared" si="6"/>
        <v>0</v>
      </c>
      <c r="F129">
        <f t="shared" si="7"/>
        <v>1</v>
      </c>
      <c r="G129">
        <f t="shared" si="8"/>
        <v>0</v>
      </c>
      <c r="H129">
        <f t="shared" si="9"/>
        <v>0</v>
      </c>
      <c r="I129">
        <f t="shared" si="10"/>
        <v>0</v>
      </c>
      <c r="J129">
        <f t="shared" si="11"/>
        <v>0</v>
      </c>
    </row>
    <row r="130" spans="1:10" x14ac:dyDescent="0.2">
      <c r="A130" t="s">
        <v>144</v>
      </c>
      <c r="B130">
        <v>2015</v>
      </c>
      <c r="C130">
        <v>478</v>
      </c>
      <c r="D130" t="s">
        <v>11</v>
      </c>
      <c r="E130">
        <f t="shared" si="6"/>
        <v>0</v>
      </c>
      <c r="F130">
        <f t="shared" si="7"/>
        <v>1</v>
      </c>
      <c r="G130">
        <f t="shared" si="8"/>
        <v>0</v>
      </c>
      <c r="H130">
        <f t="shared" si="9"/>
        <v>0</v>
      </c>
      <c r="I130">
        <f t="shared" si="10"/>
        <v>0</v>
      </c>
      <c r="J130">
        <f t="shared" si="11"/>
        <v>0</v>
      </c>
    </row>
    <row r="131" spans="1:10" x14ac:dyDescent="0.2">
      <c r="A131" t="s">
        <v>145</v>
      </c>
      <c r="B131">
        <v>2017</v>
      </c>
      <c r="C131">
        <v>483</v>
      </c>
      <c r="D131" t="s">
        <v>11</v>
      </c>
      <c r="E131">
        <f t="shared" ref="E131:E194" si="12">IF(OR(ISNUMBER(FIND("CrABS", D131)), ISNUMBER(FIND("CrULN", D131))), 1, 0)</f>
        <v>0</v>
      </c>
      <c r="F131">
        <f t="shared" ref="F131:F194" si="13">IF(ISNUMBER(FIND("CrCl", D131)), 1, 0)</f>
        <v>1</v>
      </c>
      <c r="G131">
        <f t="shared" ref="G131:G194" si="14">IF(ISNUMBER(FIND("CrULN", D131)), 1, 0)</f>
        <v>0</v>
      </c>
      <c r="H131">
        <f t="shared" ref="H131:H194" si="15">IF(ISNUMBER(FIND("eGFR", D131)), 1, 0)</f>
        <v>0</v>
      </c>
      <c r="I131">
        <f t="shared" ref="I131:I194" si="16">IF(ISNUMBER(FIND("Heterogeneous", D131)), 1, 0)</f>
        <v>0</v>
      </c>
      <c r="J131">
        <f t="shared" ref="J131:J194" si="17">IF(ISNUMBER(FIND("n/a", D131)), 1, 0)</f>
        <v>0</v>
      </c>
    </row>
    <row r="132" spans="1:10" x14ac:dyDescent="0.2">
      <c r="A132" t="s">
        <v>146</v>
      </c>
      <c r="B132">
        <v>2018</v>
      </c>
      <c r="C132">
        <v>491</v>
      </c>
      <c r="D132" t="s">
        <v>11</v>
      </c>
      <c r="E132">
        <f t="shared" si="12"/>
        <v>0</v>
      </c>
      <c r="F132">
        <f t="shared" si="13"/>
        <v>1</v>
      </c>
      <c r="G132">
        <f t="shared" si="14"/>
        <v>0</v>
      </c>
      <c r="H132">
        <f t="shared" si="15"/>
        <v>0</v>
      </c>
      <c r="I132">
        <f t="shared" si="16"/>
        <v>0</v>
      </c>
      <c r="J132">
        <f t="shared" si="17"/>
        <v>0</v>
      </c>
    </row>
    <row r="133" spans="1:10" x14ac:dyDescent="0.2">
      <c r="A133" t="s">
        <v>147</v>
      </c>
      <c r="B133">
        <v>2017</v>
      </c>
      <c r="C133">
        <v>495</v>
      </c>
      <c r="D133" t="s">
        <v>16</v>
      </c>
      <c r="E133">
        <f t="shared" si="12"/>
        <v>0</v>
      </c>
      <c r="F133">
        <f t="shared" si="13"/>
        <v>0</v>
      </c>
      <c r="G133">
        <f t="shared" si="14"/>
        <v>0</v>
      </c>
      <c r="H133">
        <f t="shared" si="15"/>
        <v>0</v>
      </c>
      <c r="I133">
        <f t="shared" si="16"/>
        <v>1</v>
      </c>
      <c r="J133">
        <f t="shared" si="17"/>
        <v>0</v>
      </c>
    </row>
    <row r="134" spans="1:10" x14ac:dyDescent="0.2">
      <c r="A134" t="s">
        <v>148</v>
      </c>
      <c r="B134">
        <v>2014</v>
      </c>
      <c r="C134">
        <v>495</v>
      </c>
      <c r="D134" t="s">
        <v>16</v>
      </c>
      <c r="E134">
        <f t="shared" si="12"/>
        <v>0</v>
      </c>
      <c r="F134">
        <f t="shared" si="13"/>
        <v>0</v>
      </c>
      <c r="G134">
        <f t="shared" si="14"/>
        <v>0</v>
      </c>
      <c r="H134">
        <f t="shared" si="15"/>
        <v>0</v>
      </c>
      <c r="I134">
        <f t="shared" si="16"/>
        <v>1</v>
      </c>
      <c r="J134">
        <f t="shared" si="17"/>
        <v>0</v>
      </c>
    </row>
    <row r="135" spans="1:10" x14ac:dyDescent="0.2">
      <c r="A135" t="s">
        <v>149</v>
      </c>
      <c r="B135">
        <v>2015</v>
      </c>
      <c r="C135">
        <v>499</v>
      </c>
      <c r="D135" t="s">
        <v>11</v>
      </c>
      <c r="E135">
        <f t="shared" si="12"/>
        <v>0</v>
      </c>
      <c r="F135">
        <f t="shared" si="13"/>
        <v>1</v>
      </c>
      <c r="G135">
        <f t="shared" si="14"/>
        <v>0</v>
      </c>
      <c r="H135">
        <f t="shared" si="15"/>
        <v>0</v>
      </c>
      <c r="I135">
        <f t="shared" si="16"/>
        <v>0</v>
      </c>
      <c r="J135">
        <f t="shared" si="17"/>
        <v>0</v>
      </c>
    </row>
    <row r="136" spans="1:10" x14ac:dyDescent="0.2">
      <c r="A136" t="s">
        <v>150</v>
      </c>
      <c r="B136">
        <v>2018</v>
      </c>
      <c r="C136">
        <v>500</v>
      </c>
      <c r="D136" t="s">
        <v>34</v>
      </c>
      <c r="E136">
        <f t="shared" si="12"/>
        <v>1</v>
      </c>
      <c r="F136">
        <f t="shared" si="13"/>
        <v>0</v>
      </c>
      <c r="G136">
        <f t="shared" si="14"/>
        <v>1</v>
      </c>
      <c r="H136">
        <f t="shared" si="15"/>
        <v>0</v>
      </c>
      <c r="I136">
        <f t="shared" si="16"/>
        <v>0</v>
      </c>
      <c r="J136">
        <f t="shared" si="17"/>
        <v>0</v>
      </c>
    </row>
    <row r="137" spans="1:10" x14ac:dyDescent="0.2">
      <c r="A137" t="s">
        <v>151</v>
      </c>
      <c r="B137">
        <v>2018</v>
      </c>
      <c r="C137">
        <v>501</v>
      </c>
      <c r="D137" t="s">
        <v>11</v>
      </c>
      <c r="E137">
        <f t="shared" si="12"/>
        <v>0</v>
      </c>
      <c r="F137">
        <f t="shared" si="13"/>
        <v>1</v>
      </c>
      <c r="G137">
        <f t="shared" si="14"/>
        <v>0</v>
      </c>
      <c r="H137">
        <f t="shared" si="15"/>
        <v>0</v>
      </c>
      <c r="I137">
        <f t="shared" si="16"/>
        <v>0</v>
      </c>
      <c r="J137">
        <f t="shared" si="17"/>
        <v>0</v>
      </c>
    </row>
    <row r="138" spans="1:10" x14ac:dyDescent="0.2">
      <c r="A138" t="s">
        <v>152</v>
      </c>
      <c r="B138">
        <v>2016</v>
      </c>
      <c r="C138">
        <v>502</v>
      </c>
      <c r="D138" t="s">
        <v>16</v>
      </c>
      <c r="E138">
        <f t="shared" si="12"/>
        <v>0</v>
      </c>
      <c r="F138">
        <f t="shared" si="13"/>
        <v>0</v>
      </c>
      <c r="G138">
        <f t="shared" si="14"/>
        <v>0</v>
      </c>
      <c r="H138">
        <f t="shared" si="15"/>
        <v>0</v>
      </c>
      <c r="I138">
        <f t="shared" si="16"/>
        <v>1</v>
      </c>
      <c r="J138">
        <f t="shared" si="17"/>
        <v>0</v>
      </c>
    </row>
    <row r="139" spans="1:10" x14ac:dyDescent="0.2">
      <c r="A139" t="s">
        <v>153</v>
      </c>
      <c r="B139">
        <v>2015</v>
      </c>
      <c r="C139">
        <v>504</v>
      </c>
      <c r="D139" t="s">
        <v>16</v>
      </c>
      <c r="E139">
        <f t="shared" si="12"/>
        <v>0</v>
      </c>
      <c r="F139">
        <f t="shared" si="13"/>
        <v>0</v>
      </c>
      <c r="G139">
        <f t="shared" si="14"/>
        <v>0</v>
      </c>
      <c r="H139">
        <f t="shared" si="15"/>
        <v>0</v>
      </c>
      <c r="I139">
        <f t="shared" si="16"/>
        <v>1</v>
      </c>
      <c r="J139">
        <f t="shared" si="17"/>
        <v>0</v>
      </c>
    </row>
    <row r="140" spans="1:10" x14ac:dyDescent="0.2">
      <c r="A140" t="s">
        <v>154</v>
      </c>
      <c r="B140">
        <v>2018</v>
      </c>
      <c r="C140">
        <v>512</v>
      </c>
      <c r="D140" t="s">
        <v>11</v>
      </c>
      <c r="E140">
        <f t="shared" si="12"/>
        <v>0</v>
      </c>
      <c r="F140">
        <f t="shared" si="13"/>
        <v>1</v>
      </c>
      <c r="G140">
        <f t="shared" si="14"/>
        <v>0</v>
      </c>
      <c r="H140">
        <f t="shared" si="15"/>
        <v>0</v>
      </c>
      <c r="I140">
        <f t="shared" si="16"/>
        <v>0</v>
      </c>
      <c r="J140">
        <f t="shared" si="17"/>
        <v>0</v>
      </c>
    </row>
    <row r="141" spans="1:10" x14ac:dyDescent="0.2">
      <c r="A141" t="s">
        <v>155</v>
      </c>
      <c r="B141">
        <v>2016</v>
      </c>
      <c r="C141">
        <v>513</v>
      </c>
      <c r="D141" t="s">
        <v>34</v>
      </c>
      <c r="E141">
        <f t="shared" si="12"/>
        <v>1</v>
      </c>
      <c r="F141">
        <f t="shared" si="13"/>
        <v>0</v>
      </c>
      <c r="G141">
        <f t="shared" si="14"/>
        <v>1</v>
      </c>
      <c r="H141">
        <f t="shared" si="15"/>
        <v>0</v>
      </c>
      <c r="I141">
        <f t="shared" si="16"/>
        <v>0</v>
      </c>
      <c r="J141">
        <f t="shared" si="17"/>
        <v>0</v>
      </c>
    </row>
    <row r="142" spans="1:10" x14ac:dyDescent="0.2">
      <c r="A142" t="s">
        <v>156</v>
      </c>
      <c r="B142">
        <v>2018</v>
      </c>
      <c r="C142">
        <v>528</v>
      </c>
      <c r="D142" t="s">
        <v>11</v>
      </c>
      <c r="E142">
        <f t="shared" si="12"/>
        <v>0</v>
      </c>
      <c r="F142">
        <f t="shared" si="13"/>
        <v>1</v>
      </c>
      <c r="G142">
        <f t="shared" si="14"/>
        <v>0</v>
      </c>
      <c r="H142">
        <f t="shared" si="15"/>
        <v>0</v>
      </c>
      <c r="I142">
        <f t="shared" si="16"/>
        <v>0</v>
      </c>
      <c r="J142">
        <f t="shared" si="17"/>
        <v>0</v>
      </c>
    </row>
    <row r="143" spans="1:10" x14ac:dyDescent="0.2">
      <c r="A143" t="s">
        <v>157</v>
      </c>
      <c r="B143">
        <v>2017</v>
      </c>
      <c r="C143">
        <v>529</v>
      </c>
      <c r="D143" t="s">
        <v>11</v>
      </c>
      <c r="E143">
        <f t="shared" si="12"/>
        <v>0</v>
      </c>
      <c r="F143">
        <f t="shared" si="13"/>
        <v>1</v>
      </c>
      <c r="G143">
        <f t="shared" si="14"/>
        <v>0</v>
      </c>
      <c r="H143">
        <f t="shared" si="15"/>
        <v>0</v>
      </c>
      <c r="I143">
        <f t="shared" si="16"/>
        <v>0</v>
      </c>
      <c r="J143">
        <f t="shared" si="17"/>
        <v>0</v>
      </c>
    </row>
    <row r="144" spans="1:10" x14ac:dyDescent="0.2">
      <c r="A144" t="s">
        <v>158</v>
      </c>
      <c r="B144">
        <v>2015</v>
      </c>
      <c r="C144">
        <v>530</v>
      </c>
      <c r="D144" t="s">
        <v>11</v>
      </c>
      <c r="E144">
        <f t="shared" si="12"/>
        <v>0</v>
      </c>
      <c r="F144">
        <f t="shared" si="13"/>
        <v>1</v>
      </c>
      <c r="G144">
        <f t="shared" si="14"/>
        <v>0</v>
      </c>
      <c r="H144">
        <f t="shared" si="15"/>
        <v>0</v>
      </c>
      <c r="I144">
        <f t="shared" si="16"/>
        <v>0</v>
      </c>
      <c r="J144">
        <f t="shared" si="17"/>
        <v>0</v>
      </c>
    </row>
    <row r="145" spans="1:10" x14ac:dyDescent="0.2">
      <c r="A145" t="s">
        <v>159</v>
      </c>
      <c r="B145">
        <v>2015</v>
      </c>
      <c r="C145">
        <v>533</v>
      </c>
      <c r="D145" t="s">
        <v>16</v>
      </c>
      <c r="E145">
        <f t="shared" si="12"/>
        <v>0</v>
      </c>
      <c r="F145">
        <f t="shared" si="13"/>
        <v>0</v>
      </c>
      <c r="G145">
        <f t="shared" si="14"/>
        <v>0</v>
      </c>
      <c r="H145">
        <f t="shared" si="15"/>
        <v>0</v>
      </c>
      <c r="I145">
        <f t="shared" si="16"/>
        <v>1</v>
      </c>
      <c r="J145">
        <f t="shared" si="17"/>
        <v>0</v>
      </c>
    </row>
    <row r="146" spans="1:10" x14ac:dyDescent="0.2">
      <c r="A146" t="s">
        <v>160</v>
      </c>
      <c r="B146">
        <v>2014</v>
      </c>
      <c r="C146">
        <v>536</v>
      </c>
      <c r="D146" t="s">
        <v>34</v>
      </c>
      <c r="E146">
        <f t="shared" si="12"/>
        <v>1</v>
      </c>
      <c r="F146">
        <f t="shared" si="13"/>
        <v>0</v>
      </c>
      <c r="G146">
        <f t="shared" si="14"/>
        <v>1</v>
      </c>
      <c r="H146">
        <f t="shared" si="15"/>
        <v>0</v>
      </c>
      <c r="I146">
        <f t="shared" si="16"/>
        <v>0</v>
      </c>
      <c r="J146">
        <f t="shared" si="17"/>
        <v>0</v>
      </c>
    </row>
    <row r="147" spans="1:10" x14ac:dyDescent="0.2">
      <c r="A147" t="s">
        <v>161</v>
      </c>
      <c r="B147">
        <v>2014</v>
      </c>
      <c r="C147">
        <v>541</v>
      </c>
      <c r="D147" t="s">
        <v>13</v>
      </c>
      <c r="E147">
        <f t="shared" si="12"/>
        <v>0</v>
      </c>
      <c r="F147">
        <f t="shared" si="13"/>
        <v>0</v>
      </c>
      <c r="G147">
        <f t="shared" si="14"/>
        <v>0</v>
      </c>
      <c r="H147">
        <f t="shared" si="15"/>
        <v>0</v>
      </c>
      <c r="I147">
        <f t="shared" si="16"/>
        <v>0</v>
      </c>
      <c r="J147">
        <f t="shared" si="17"/>
        <v>1</v>
      </c>
    </row>
    <row r="148" spans="1:10" x14ac:dyDescent="0.2">
      <c r="A148" t="s">
        <v>162</v>
      </c>
      <c r="B148">
        <v>2014</v>
      </c>
      <c r="C148">
        <v>542</v>
      </c>
      <c r="D148" t="s">
        <v>16</v>
      </c>
      <c r="E148">
        <f t="shared" si="12"/>
        <v>0</v>
      </c>
      <c r="F148">
        <f t="shared" si="13"/>
        <v>0</v>
      </c>
      <c r="G148">
        <f t="shared" si="14"/>
        <v>0</v>
      </c>
      <c r="H148">
        <f t="shared" si="15"/>
        <v>0</v>
      </c>
      <c r="I148">
        <f t="shared" si="16"/>
        <v>1</v>
      </c>
      <c r="J148">
        <f t="shared" si="17"/>
        <v>0</v>
      </c>
    </row>
    <row r="149" spans="1:10" x14ac:dyDescent="0.2">
      <c r="A149" t="s">
        <v>163</v>
      </c>
      <c r="B149">
        <v>2016</v>
      </c>
      <c r="C149">
        <v>559</v>
      </c>
      <c r="D149" t="s">
        <v>16</v>
      </c>
      <c r="E149">
        <f t="shared" si="12"/>
        <v>0</v>
      </c>
      <c r="F149">
        <f t="shared" si="13"/>
        <v>0</v>
      </c>
      <c r="G149">
        <f t="shared" si="14"/>
        <v>0</v>
      </c>
      <c r="H149">
        <f t="shared" si="15"/>
        <v>0</v>
      </c>
      <c r="I149">
        <f t="shared" si="16"/>
        <v>1</v>
      </c>
      <c r="J149">
        <f t="shared" si="17"/>
        <v>0</v>
      </c>
    </row>
    <row r="150" spans="1:10" x14ac:dyDescent="0.2">
      <c r="A150" t="s">
        <v>164</v>
      </c>
      <c r="B150">
        <v>2016</v>
      </c>
      <c r="C150">
        <v>560</v>
      </c>
      <c r="D150" t="s">
        <v>16</v>
      </c>
      <c r="E150">
        <f t="shared" si="12"/>
        <v>0</v>
      </c>
      <c r="F150">
        <f t="shared" si="13"/>
        <v>0</v>
      </c>
      <c r="G150">
        <f t="shared" si="14"/>
        <v>0</v>
      </c>
      <c r="H150">
        <f t="shared" si="15"/>
        <v>0</v>
      </c>
      <c r="I150">
        <f t="shared" si="16"/>
        <v>1</v>
      </c>
      <c r="J150">
        <f t="shared" si="17"/>
        <v>0</v>
      </c>
    </row>
    <row r="151" spans="1:10" x14ac:dyDescent="0.2">
      <c r="A151" t="s">
        <v>165</v>
      </c>
      <c r="B151">
        <v>2014</v>
      </c>
      <c r="C151">
        <v>562</v>
      </c>
      <c r="D151" t="s">
        <v>13</v>
      </c>
      <c r="E151">
        <f t="shared" si="12"/>
        <v>0</v>
      </c>
      <c r="F151">
        <f t="shared" si="13"/>
        <v>0</v>
      </c>
      <c r="G151">
        <f t="shared" si="14"/>
        <v>0</v>
      </c>
      <c r="H151">
        <f t="shared" si="15"/>
        <v>0</v>
      </c>
      <c r="I151">
        <f t="shared" si="16"/>
        <v>0</v>
      </c>
      <c r="J151">
        <f t="shared" si="17"/>
        <v>1</v>
      </c>
    </row>
    <row r="152" spans="1:10" x14ac:dyDescent="0.2">
      <c r="A152" t="s">
        <v>166</v>
      </c>
      <c r="B152">
        <v>2014</v>
      </c>
      <c r="C152">
        <v>564</v>
      </c>
      <c r="D152" t="s">
        <v>16</v>
      </c>
      <c r="E152">
        <f t="shared" si="12"/>
        <v>0</v>
      </c>
      <c r="F152">
        <f t="shared" si="13"/>
        <v>0</v>
      </c>
      <c r="G152">
        <f t="shared" si="14"/>
        <v>0</v>
      </c>
      <c r="H152">
        <f t="shared" si="15"/>
        <v>0</v>
      </c>
      <c r="I152">
        <f t="shared" si="16"/>
        <v>1</v>
      </c>
      <c r="J152">
        <f t="shared" si="17"/>
        <v>0</v>
      </c>
    </row>
    <row r="153" spans="1:10" x14ac:dyDescent="0.2">
      <c r="A153" t="s">
        <v>167</v>
      </c>
      <c r="B153">
        <v>2015</v>
      </c>
      <c r="C153">
        <v>566</v>
      </c>
      <c r="D153" t="s">
        <v>16</v>
      </c>
      <c r="E153">
        <f t="shared" si="12"/>
        <v>0</v>
      </c>
      <c r="F153">
        <f t="shared" si="13"/>
        <v>0</v>
      </c>
      <c r="G153">
        <f t="shared" si="14"/>
        <v>0</v>
      </c>
      <c r="H153">
        <f t="shared" si="15"/>
        <v>0</v>
      </c>
      <c r="I153">
        <f t="shared" si="16"/>
        <v>1</v>
      </c>
      <c r="J153">
        <f t="shared" si="17"/>
        <v>0</v>
      </c>
    </row>
    <row r="154" spans="1:10" x14ac:dyDescent="0.2">
      <c r="A154" t="s">
        <v>168</v>
      </c>
      <c r="B154">
        <v>2016</v>
      </c>
      <c r="C154">
        <v>567</v>
      </c>
      <c r="D154" t="s">
        <v>26</v>
      </c>
      <c r="E154">
        <f t="shared" si="12"/>
        <v>0</v>
      </c>
      <c r="F154">
        <f t="shared" si="13"/>
        <v>0</v>
      </c>
      <c r="G154">
        <f t="shared" si="14"/>
        <v>0</v>
      </c>
      <c r="H154">
        <f t="shared" si="15"/>
        <v>1</v>
      </c>
      <c r="I154">
        <f t="shared" si="16"/>
        <v>0</v>
      </c>
      <c r="J154">
        <f t="shared" si="17"/>
        <v>0</v>
      </c>
    </row>
    <row r="155" spans="1:10" x14ac:dyDescent="0.2">
      <c r="A155" t="s">
        <v>168</v>
      </c>
      <c r="B155">
        <v>2017</v>
      </c>
      <c r="C155">
        <v>567</v>
      </c>
      <c r="D155" t="s">
        <v>26</v>
      </c>
      <c r="E155">
        <f t="shared" si="12"/>
        <v>0</v>
      </c>
      <c r="F155">
        <f t="shared" si="13"/>
        <v>0</v>
      </c>
      <c r="G155">
        <f t="shared" si="14"/>
        <v>0</v>
      </c>
      <c r="H155">
        <f t="shared" si="15"/>
        <v>1</v>
      </c>
      <c r="I155">
        <f t="shared" si="16"/>
        <v>0</v>
      </c>
      <c r="J155">
        <f t="shared" si="17"/>
        <v>0</v>
      </c>
    </row>
    <row r="156" spans="1:10" x14ac:dyDescent="0.2">
      <c r="A156" t="s">
        <v>169</v>
      </c>
      <c r="B156">
        <v>2017</v>
      </c>
      <c r="C156">
        <v>568</v>
      </c>
      <c r="D156" t="s">
        <v>16</v>
      </c>
      <c r="E156">
        <f t="shared" si="12"/>
        <v>0</v>
      </c>
      <c r="F156">
        <f t="shared" si="13"/>
        <v>0</v>
      </c>
      <c r="G156">
        <f t="shared" si="14"/>
        <v>0</v>
      </c>
      <c r="H156">
        <f t="shared" si="15"/>
        <v>0</v>
      </c>
      <c r="I156">
        <f t="shared" si="16"/>
        <v>1</v>
      </c>
      <c r="J156">
        <f t="shared" si="17"/>
        <v>0</v>
      </c>
    </row>
    <row r="157" spans="1:10" x14ac:dyDescent="0.2">
      <c r="A157" t="s">
        <v>170</v>
      </c>
      <c r="B157">
        <v>2015</v>
      </c>
      <c r="C157">
        <v>570</v>
      </c>
      <c r="D157" t="s">
        <v>11</v>
      </c>
      <c r="E157">
        <f t="shared" si="12"/>
        <v>0</v>
      </c>
      <c r="F157">
        <f t="shared" si="13"/>
        <v>1</v>
      </c>
      <c r="G157">
        <f t="shared" si="14"/>
        <v>0</v>
      </c>
      <c r="H157">
        <f t="shared" si="15"/>
        <v>0</v>
      </c>
      <c r="I157">
        <f t="shared" si="16"/>
        <v>0</v>
      </c>
      <c r="J157">
        <f t="shared" si="17"/>
        <v>0</v>
      </c>
    </row>
    <row r="158" spans="1:10" x14ac:dyDescent="0.2">
      <c r="A158" t="s">
        <v>171</v>
      </c>
      <c r="B158">
        <v>2015</v>
      </c>
      <c r="C158">
        <v>572</v>
      </c>
      <c r="D158" t="s">
        <v>11</v>
      </c>
      <c r="E158">
        <f t="shared" si="12"/>
        <v>0</v>
      </c>
      <c r="F158">
        <f t="shared" si="13"/>
        <v>1</v>
      </c>
      <c r="G158">
        <f t="shared" si="14"/>
        <v>0</v>
      </c>
      <c r="H158">
        <f t="shared" si="15"/>
        <v>0</v>
      </c>
      <c r="I158">
        <f t="shared" si="16"/>
        <v>0</v>
      </c>
      <c r="J158">
        <f t="shared" si="17"/>
        <v>0</v>
      </c>
    </row>
    <row r="159" spans="1:10" x14ac:dyDescent="0.2">
      <c r="A159" t="s">
        <v>172</v>
      </c>
      <c r="B159">
        <v>2015</v>
      </c>
      <c r="C159">
        <v>572</v>
      </c>
      <c r="D159" t="s">
        <v>11</v>
      </c>
      <c r="E159">
        <f t="shared" si="12"/>
        <v>0</v>
      </c>
      <c r="F159">
        <f t="shared" si="13"/>
        <v>1</v>
      </c>
      <c r="G159">
        <f t="shared" si="14"/>
        <v>0</v>
      </c>
      <c r="H159">
        <f t="shared" si="15"/>
        <v>0</v>
      </c>
      <c r="I159">
        <f t="shared" si="16"/>
        <v>0</v>
      </c>
      <c r="J159">
        <f t="shared" si="17"/>
        <v>0</v>
      </c>
    </row>
    <row r="160" spans="1:10" x14ac:dyDescent="0.2">
      <c r="A160" t="s">
        <v>173</v>
      </c>
      <c r="B160">
        <v>2016</v>
      </c>
      <c r="C160">
        <v>578</v>
      </c>
      <c r="D160" t="s">
        <v>11</v>
      </c>
      <c r="E160">
        <f t="shared" si="12"/>
        <v>0</v>
      </c>
      <c r="F160">
        <f t="shared" si="13"/>
        <v>1</v>
      </c>
      <c r="G160">
        <f t="shared" si="14"/>
        <v>0</v>
      </c>
      <c r="H160">
        <f t="shared" si="15"/>
        <v>0</v>
      </c>
      <c r="I160">
        <f t="shared" si="16"/>
        <v>0</v>
      </c>
      <c r="J160">
        <f t="shared" si="17"/>
        <v>0</v>
      </c>
    </row>
    <row r="161" spans="1:10" x14ac:dyDescent="0.2">
      <c r="A161" t="s">
        <v>174</v>
      </c>
      <c r="B161">
        <v>2015</v>
      </c>
      <c r="C161">
        <v>592</v>
      </c>
      <c r="D161" t="s">
        <v>16</v>
      </c>
      <c r="E161">
        <f t="shared" si="12"/>
        <v>0</v>
      </c>
      <c r="F161">
        <f t="shared" si="13"/>
        <v>0</v>
      </c>
      <c r="G161">
        <f t="shared" si="14"/>
        <v>0</v>
      </c>
      <c r="H161">
        <f t="shared" si="15"/>
        <v>0</v>
      </c>
      <c r="I161">
        <f t="shared" si="16"/>
        <v>1</v>
      </c>
      <c r="J161">
        <f t="shared" si="17"/>
        <v>0</v>
      </c>
    </row>
    <row r="162" spans="1:10" x14ac:dyDescent="0.2">
      <c r="A162" t="s">
        <v>175</v>
      </c>
      <c r="B162">
        <v>2015</v>
      </c>
      <c r="C162">
        <v>595</v>
      </c>
      <c r="D162" t="s">
        <v>11</v>
      </c>
      <c r="E162">
        <f t="shared" si="12"/>
        <v>0</v>
      </c>
      <c r="F162">
        <f t="shared" si="13"/>
        <v>1</v>
      </c>
      <c r="G162">
        <f t="shared" si="14"/>
        <v>0</v>
      </c>
      <c r="H162">
        <f t="shared" si="15"/>
        <v>0</v>
      </c>
      <c r="I162">
        <f t="shared" si="16"/>
        <v>0</v>
      </c>
      <c r="J162">
        <f t="shared" si="17"/>
        <v>0</v>
      </c>
    </row>
    <row r="163" spans="1:10" x14ac:dyDescent="0.2">
      <c r="A163" t="s">
        <v>176</v>
      </c>
      <c r="B163">
        <v>2014</v>
      </c>
      <c r="C163">
        <v>595</v>
      </c>
      <c r="D163" t="s">
        <v>11</v>
      </c>
      <c r="E163">
        <f t="shared" si="12"/>
        <v>0</v>
      </c>
      <c r="F163">
        <f t="shared" si="13"/>
        <v>1</v>
      </c>
      <c r="G163">
        <f t="shared" si="14"/>
        <v>0</v>
      </c>
      <c r="H163">
        <f t="shared" si="15"/>
        <v>0</v>
      </c>
      <c r="I163">
        <f t="shared" si="16"/>
        <v>0</v>
      </c>
      <c r="J163">
        <f t="shared" si="17"/>
        <v>0</v>
      </c>
    </row>
    <row r="164" spans="1:10" x14ac:dyDescent="0.2">
      <c r="A164" t="s">
        <v>177</v>
      </c>
      <c r="B164">
        <v>2016</v>
      </c>
      <c r="C164">
        <v>605</v>
      </c>
      <c r="D164" t="s">
        <v>16</v>
      </c>
      <c r="E164">
        <f t="shared" si="12"/>
        <v>0</v>
      </c>
      <c r="F164">
        <f t="shared" si="13"/>
        <v>0</v>
      </c>
      <c r="G164">
        <f t="shared" si="14"/>
        <v>0</v>
      </c>
      <c r="H164">
        <f t="shared" si="15"/>
        <v>0</v>
      </c>
      <c r="I164">
        <f t="shared" si="16"/>
        <v>1</v>
      </c>
      <c r="J164">
        <f t="shared" si="17"/>
        <v>0</v>
      </c>
    </row>
    <row r="165" spans="1:10" x14ac:dyDescent="0.2">
      <c r="A165" t="s">
        <v>178</v>
      </c>
      <c r="B165">
        <v>2017</v>
      </c>
      <c r="C165">
        <v>608</v>
      </c>
      <c r="D165" t="s">
        <v>16</v>
      </c>
      <c r="E165">
        <f t="shared" si="12"/>
        <v>0</v>
      </c>
      <c r="F165">
        <f t="shared" si="13"/>
        <v>0</v>
      </c>
      <c r="G165">
        <f t="shared" si="14"/>
        <v>0</v>
      </c>
      <c r="H165">
        <f t="shared" si="15"/>
        <v>0</v>
      </c>
      <c r="I165">
        <f t="shared" si="16"/>
        <v>1</v>
      </c>
      <c r="J165">
        <f t="shared" si="17"/>
        <v>0</v>
      </c>
    </row>
    <row r="166" spans="1:10" x14ac:dyDescent="0.2">
      <c r="A166" t="s">
        <v>179</v>
      </c>
      <c r="B166">
        <v>2016</v>
      </c>
      <c r="C166">
        <v>613</v>
      </c>
      <c r="D166" t="s">
        <v>11</v>
      </c>
      <c r="E166">
        <f t="shared" si="12"/>
        <v>0</v>
      </c>
      <c r="F166">
        <f t="shared" si="13"/>
        <v>1</v>
      </c>
      <c r="G166">
        <f t="shared" si="14"/>
        <v>0</v>
      </c>
      <c r="H166">
        <f t="shared" si="15"/>
        <v>0</v>
      </c>
      <c r="I166">
        <f t="shared" si="16"/>
        <v>0</v>
      </c>
      <c r="J166">
        <f t="shared" si="17"/>
        <v>0</v>
      </c>
    </row>
    <row r="167" spans="1:10" x14ac:dyDescent="0.2">
      <c r="A167" t="s">
        <v>180</v>
      </c>
      <c r="B167">
        <v>2016</v>
      </c>
      <c r="C167">
        <v>616</v>
      </c>
      <c r="D167" t="s">
        <v>16</v>
      </c>
      <c r="E167">
        <f t="shared" si="12"/>
        <v>0</v>
      </c>
      <c r="F167">
        <f t="shared" si="13"/>
        <v>0</v>
      </c>
      <c r="G167">
        <f t="shared" si="14"/>
        <v>0</v>
      </c>
      <c r="H167">
        <f t="shared" si="15"/>
        <v>0</v>
      </c>
      <c r="I167">
        <f t="shared" si="16"/>
        <v>1</v>
      </c>
      <c r="J167">
        <f t="shared" si="17"/>
        <v>0</v>
      </c>
    </row>
    <row r="168" spans="1:10" x14ac:dyDescent="0.2">
      <c r="A168" t="s">
        <v>181</v>
      </c>
      <c r="B168">
        <v>2015</v>
      </c>
      <c r="C168">
        <v>622</v>
      </c>
      <c r="D168" t="s">
        <v>16</v>
      </c>
      <c r="E168">
        <f t="shared" si="12"/>
        <v>0</v>
      </c>
      <c r="F168">
        <f t="shared" si="13"/>
        <v>0</v>
      </c>
      <c r="G168">
        <f t="shared" si="14"/>
        <v>0</v>
      </c>
      <c r="H168">
        <f t="shared" si="15"/>
        <v>0</v>
      </c>
      <c r="I168">
        <f t="shared" si="16"/>
        <v>1</v>
      </c>
      <c r="J168">
        <f t="shared" si="17"/>
        <v>0</v>
      </c>
    </row>
    <row r="169" spans="1:10" x14ac:dyDescent="0.2">
      <c r="A169" t="s">
        <v>182</v>
      </c>
      <c r="B169">
        <v>2015</v>
      </c>
      <c r="C169">
        <v>624</v>
      </c>
      <c r="D169" t="s">
        <v>16</v>
      </c>
      <c r="E169">
        <f t="shared" si="12"/>
        <v>0</v>
      </c>
      <c r="F169">
        <f t="shared" si="13"/>
        <v>0</v>
      </c>
      <c r="G169">
        <f t="shared" si="14"/>
        <v>0</v>
      </c>
      <c r="H169">
        <f t="shared" si="15"/>
        <v>0</v>
      </c>
      <c r="I169">
        <f t="shared" si="16"/>
        <v>1</v>
      </c>
      <c r="J169">
        <f t="shared" si="17"/>
        <v>0</v>
      </c>
    </row>
    <row r="170" spans="1:10" x14ac:dyDescent="0.2">
      <c r="A170" t="s">
        <v>183</v>
      </c>
      <c r="B170">
        <v>2018</v>
      </c>
      <c r="C170">
        <v>627</v>
      </c>
      <c r="D170" t="s">
        <v>16</v>
      </c>
      <c r="E170">
        <f t="shared" si="12"/>
        <v>0</v>
      </c>
      <c r="F170">
        <f t="shared" si="13"/>
        <v>0</v>
      </c>
      <c r="G170">
        <f t="shared" si="14"/>
        <v>0</v>
      </c>
      <c r="H170">
        <f t="shared" si="15"/>
        <v>0</v>
      </c>
      <c r="I170">
        <f t="shared" si="16"/>
        <v>1</v>
      </c>
      <c r="J170">
        <f t="shared" si="17"/>
        <v>0</v>
      </c>
    </row>
    <row r="171" spans="1:10" x14ac:dyDescent="0.2">
      <c r="A171" t="s">
        <v>184</v>
      </c>
      <c r="B171">
        <v>2015</v>
      </c>
      <c r="C171">
        <v>628</v>
      </c>
      <c r="D171" t="s">
        <v>16</v>
      </c>
      <c r="E171">
        <f t="shared" si="12"/>
        <v>0</v>
      </c>
      <c r="F171">
        <f t="shared" si="13"/>
        <v>0</v>
      </c>
      <c r="G171">
        <f t="shared" si="14"/>
        <v>0</v>
      </c>
      <c r="H171">
        <f t="shared" si="15"/>
        <v>0</v>
      </c>
      <c r="I171">
        <f t="shared" si="16"/>
        <v>1</v>
      </c>
      <c r="J171">
        <f t="shared" si="17"/>
        <v>0</v>
      </c>
    </row>
    <row r="172" spans="1:10" x14ac:dyDescent="0.2">
      <c r="A172" t="s">
        <v>185</v>
      </c>
      <c r="B172">
        <v>2017</v>
      </c>
      <c r="C172">
        <v>642</v>
      </c>
      <c r="D172" t="s">
        <v>13</v>
      </c>
      <c r="E172">
        <f t="shared" si="12"/>
        <v>0</v>
      </c>
      <c r="F172">
        <f t="shared" si="13"/>
        <v>0</v>
      </c>
      <c r="G172">
        <f t="shared" si="14"/>
        <v>0</v>
      </c>
      <c r="H172">
        <f t="shared" si="15"/>
        <v>0</v>
      </c>
      <c r="I172">
        <f t="shared" si="16"/>
        <v>0</v>
      </c>
      <c r="J172">
        <f t="shared" si="17"/>
        <v>1</v>
      </c>
    </row>
    <row r="173" spans="1:10" x14ac:dyDescent="0.2">
      <c r="A173" t="s">
        <v>186</v>
      </c>
      <c r="B173">
        <v>2015</v>
      </c>
      <c r="C173">
        <v>645</v>
      </c>
      <c r="D173" t="s">
        <v>13</v>
      </c>
      <c r="E173">
        <f t="shared" si="12"/>
        <v>0</v>
      </c>
      <c r="F173">
        <f t="shared" si="13"/>
        <v>0</v>
      </c>
      <c r="G173">
        <f t="shared" si="14"/>
        <v>0</v>
      </c>
      <c r="H173">
        <f t="shared" si="15"/>
        <v>0</v>
      </c>
      <c r="I173">
        <f t="shared" si="16"/>
        <v>0</v>
      </c>
      <c r="J173">
        <f t="shared" si="17"/>
        <v>1</v>
      </c>
    </row>
    <row r="174" spans="1:10" x14ac:dyDescent="0.2">
      <c r="A174" t="s">
        <v>187</v>
      </c>
      <c r="B174">
        <v>2017</v>
      </c>
      <c r="C174">
        <v>651</v>
      </c>
      <c r="D174" t="s">
        <v>11</v>
      </c>
      <c r="E174">
        <f t="shared" si="12"/>
        <v>0</v>
      </c>
      <c r="F174">
        <f t="shared" si="13"/>
        <v>1</v>
      </c>
      <c r="G174">
        <f t="shared" si="14"/>
        <v>0</v>
      </c>
      <c r="H174">
        <f t="shared" si="15"/>
        <v>0</v>
      </c>
      <c r="I174">
        <f t="shared" si="16"/>
        <v>0</v>
      </c>
      <c r="J174">
        <f t="shared" si="17"/>
        <v>0</v>
      </c>
    </row>
    <row r="175" spans="1:10" x14ac:dyDescent="0.2">
      <c r="A175" t="s">
        <v>188</v>
      </c>
      <c r="B175">
        <v>2017</v>
      </c>
      <c r="C175">
        <v>651</v>
      </c>
      <c r="D175" t="s">
        <v>16</v>
      </c>
      <c r="E175">
        <f t="shared" si="12"/>
        <v>0</v>
      </c>
      <c r="F175">
        <f t="shared" si="13"/>
        <v>0</v>
      </c>
      <c r="G175">
        <f t="shared" si="14"/>
        <v>0</v>
      </c>
      <c r="H175">
        <f t="shared" si="15"/>
        <v>0</v>
      </c>
      <c r="I175">
        <f t="shared" si="16"/>
        <v>1</v>
      </c>
      <c r="J175">
        <f t="shared" si="17"/>
        <v>0</v>
      </c>
    </row>
    <row r="176" spans="1:10" x14ac:dyDescent="0.2">
      <c r="A176" t="s">
        <v>189</v>
      </c>
      <c r="B176">
        <v>2015</v>
      </c>
      <c r="C176">
        <v>663</v>
      </c>
      <c r="D176" t="s">
        <v>16</v>
      </c>
      <c r="E176">
        <f t="shared" si="12"/>
        <v>0</v>
      </c>
      <c r="F176">
        <f t="shared" si="13"/>
        <v>0</v>
      </c>
      <c r="G176">
        <f t="shared" si="14"/>
        <v>0</v>
      </c>
      <c r="H176">
        <f t="shared" si="15"/>
        <v>0</v>
      </c>
      <c r="I176">
        <f t="shared" si="16"/>
        <v>1</v>
      </c>
      <c r="J176">
        <f t="shared" si="17"/>
        <v>0</v>
      </c>
    </row>
    <row r="177" spans="1:10" x14ac:dyDescent="0.2">
      <c r="A177" t="s">
        <v>190</v>
      </c>
      <c r="B177">
        <v>2013</v>
      </c>
      <c r="C177">
        <v>668</v>
      </c>
      <c r="D177" t="s">
        <v>13</v>
      </c>
      <c r="E177">
        <f t="shared" si="12"/>
        <v>0</v>
      </c>
      <c r="F177">
        <f t="shared" si="13"/>
        <v>0</v>
      </c>
      <c r="G177">
        <f t="shared" si="14"/>
        <v>0</v>
      </c>
      <c r="H177">
        <f t="shared" si="15"/>
        <v>0</v>
      </c>
      <c r="I177">
        <f t="shared" si="16"/>
        <v>0</v>
      </c>
      <c r="J177">
        <f t="shared" si="17"/>
        <v>1</v>
      </c>
    </row>
    <row r="178" spans="1:10" x14ac:dyDescent="0.2">
      <c r="A178" t="s">
        <v>191</v>
      </c>
      <c r="B178">
        <v>2017</v>
      </c>
      <c r="C178">
        <v>671</v>
      </c>
      <c r="D178" t="s">
        <v>16</v>
      </c>
      <c r="E178">
        <f t="shared" si="12"/>
        <v>0</v>
      </c>
      <c r="F178">
        <f t="shared" si="13"/>
        <v>0</v>
      </c>
      <c r="G178">
        <f t="shared" si="14"/>
        <v>0</v>
      </c>
      <c r="H178">
        <f t="shared" si="15"/>
        <v>0</v>
      </c>
      <c r="I178">
        <f t="shared" si="16"/>
        <v>1</v>
      </c>
      <c r="J178">
        <f t="shared" si="17"/>
        <v>0</v>
      </c>
    </row>
    <row r="179" spans="1:10" x14ac:dyDescent="0.2">
      <c r="A179" t="s">
        <v>192</v>
      </c>
      <c r="B179">
        <v>2014</v>
      </c>
      <c r="C179">
        <v>672</v>
      </c>
      <c r="D179" t="s">
        <v>34</v>
      </c>
      <c r="E179">
        <f t="shared" si="12"/>
        <v>1</v>
      </c>
      <c r="F179">
        <f t="shared" si="13"/>
        <v>0</v>
      </c>
      <c r="G179">
        <f t="shared" si="14"/>
        <v>1</v>
      </c>
      <c r="H179">
        <f t="shared" si="15"/>
        <v>0</v>
      </c>
      <c r="I179">
        <f t="shared" si="16"/>
        <v>0</v>
      </c>
      <c r="J179">
        <f t="shared" si="17"/>
        <v>0</v>
      </c>
    </row>
    <row r="180" spans="1:10" x14ac:dyDescent="0.2">
      <c r="A180" t="s">
        <v>193</v>
      </c>
      <c r="B180">
        <v>2014</v>
      </c>
      <c r="C180">
        <v>681</v>
      </c>
      <c r="D180" t="s">
        <v>11</v>
      </c>
      <c r="E180">
        <f t="shared" si="12"/>
        <v>0</v>
      </c>
      <c r="F180">
        <f t="shared" si="13"/>
        <v>1</v>
      </c>
      <c r="G180">
        <f t="shared" si="14"/>
        <v>0</v>
      </c>
      <c r="H180">
        <f t="shared" si="15"/>
        <v>0</v>
      </c>
      <c r="I180">
        <f t="shared" si="16"/>
        <v>0</v>
      </c>
      <c r="J180">
        <f t="shared" si="17"/>
        <v>0</v>
      </c>
    </row>
    <row r="181" spans="1:10" x14ac:dyDescent="0.2">
      <c r="A181" t="s">
        <v>194</v>
      </c>
      <c r="B181">
        <v>2015</v>
      </c>
      <c r="C181">
        <v>691</v>
      </c>
      <c r="D181" t="s">
        <v>11</v>
      </c>
      <c r="E181">
        <f t="shared" si="12"/>
        <v>0</v>
      </c>
      <c r="F181">
        <f t="shared" si="13"/>
        <v>1</v>
      </c>
      <c r="G181">
        <f t="shared" si="14"/>
        <v>0</v>
      </c>
      <c r="H181">
        <f t="shared" si="15"/>
        <v>0</v>
      </c>
      <c r="I181">
        <f t="shared" si="16"/>
        <v>0</v>
      </c>
      <c r="J181">
        <f t="shared" si="17"/>
        <v>0</v>
      </c>
    </row>
    <row r="182" spans="1:10" x14ac:dyDescent="0.2">
      <c r="A182" t="s">
        <v>195</v>
      </c>
      <c r="B182">
        <v>2018</v>
      </c>
      <c r="C182">
        <v>695</v>
      </c>
      <c r="D182" t="s">
        <v>16</v>
      </c>
      <c r="E182">
        <f t="shared" si="12"/>
        <v>0</v>
      </c>
      <c r="F182">
        <f t="shared" si="13"/>
        <v>0</v>
      </c>
      <c r="G182">
        <f t="shared" si="14"/>
        <v>0</v>
      </c>
      <c r="H182">
        <f t="shared" si="15"/>
        <v>0</v>
      </c>
      <c r="I182">
        <f t="shared" si="16"/>
        <v>1</v>
      </c>
      <c r="J182">
        <f t="shared" si="17"/>
        <v>0</v>
      </c>
    </row>
    <row r="183" spans="1:10" x14ac:dyDescent="0.2">
      <c r="A183" t="s">
        <v>196</v>
      </c>
      <c r="B183">
        <v>2016</v>
      </c>
      <c r="C183">
        <v>700</v>
      </c>
      <c r="D183" t="s">
        <v>11</v>
      </c>
      <c r="E183">
        <f t="shared" si="12"/>
        <v>0</v>
      </c>
      <c r="F183">
        <f t="shared" si="13"/>
        <v>1</v>
      </c>
      <c r="G183">
        <f t="shared" si="14"/>
        <v>0</v>
      </c>
      <c r="H183">
        <f t="shared" si="15"/>
        <v>0</v>
      </c>
      <c r="I183">
        <f t="shared" si="16"/>
        <v>0</v>
      </c>
      <c r="J183">
        <f t="shared" si="17"/>
        <v>0</v>
      </c>
    </row>
    <row r="184" spans="1:10" x14ac:dyDescent="0.2">
      <c r="A184" t="s">
        <v>197</v>
      </c>
      <c r="B184">
        <v>2016</v>
      </c>
      <c r="C184">
        <v>702</v>
      </c>
      <c r="D184" t="s">
        <v>16</v>
      </c>
      <c r="E184">
        <f t="shared" si="12"/>
        <v>0</v>
      </c>
      <c r="F184">
        <f t="shared" si="13"/>
        <v>0</v>
      </c>
      <c r="G184">
        <f t="shared" si="14"/>
        <v>0</v>
      </c>
      <c r="H184">
        <f t="shared" si="15"/>
        <v>0</v>
      </c>
      <c r="I184">
        <f t="shared" si="16"/>
        <v>1</v>
      </c>
      <c r="J184">
        <f t="shared" si="17"/>
        <v>0</v>
      </c>
    </row>
    <row r="185" spans="1:10" x14ac:dyDescent="0.2">
      <c r="A185" t="s">
        <v>198</v>
      </c>
      <c r="B185">
        <v>2014</v>
      </c>
      <c r="C185">
        <v>702</v>
      </c>
      <c r="D185" t="s">
        <v>34</v>
      </c>
      <c r="E185">
        <f t="shared" si="12"/>
        <v>1</v>
      </c>
      <c r="F185">
        <f t="shared" si="13"/>
        <v>0</v>
      </c>
      <c r="G185">
        <f t="shared" si="14"/>
        <v>1</v>
      </c>
      <c r="H185">
        <f t="shared" si="15"/>
        <v>0</v>
      </c>
      <c r="I185">
        <f t="shared" si="16"/>
        <v>0</v>
      </c>
      <c r="J185">
        <f t="shared" si="17"/>
        <v>0</v>
      </c>
    </row>
    <row r="186" spans="1:10" x14ac:dyDescent="0.2">
      <c r="A186" t="s">
        <v>199</v>
      </c>
      <c r="B186">
        <v>2015</v>
      </c>
      <c r="C186">
        <v>706</v>
      </c>
      <c r="D186" t="s">
        <v>11</v>
      </c>
      <c r="E186">
        <f t="shared" si="12"/>
        <v>0</v>
      </c>
      <c r="F186">
        <f t="shared" si="13"/>
        <v>1</v>
      </c>
      <c r="G186">
        <f t="shared" si="14"/>
        <v>0</v>
      </c>
      <c r="H186">
        <f t="shared" si="15"/>
        <v>0</v>
      </c>
      <c r="I186">
        <f t="shared" si="16"/>
        <v>0</v>
      </c>
      <c r="J186">
        <f t="shared" si="17"/>
        <v>0</v>
      </c>
    </row>
    <row r="187" spans="1:10" x14ac:dyDescent="0.2">
      <c r="A187" t="s">
        <v>200</v>
      </c>
      <c r="B187">
        <v>2016</v>
      </c>
      <c r="C187">
        <v>706</v>
      </c>
      <c r="D187" t="s">
        <v>16</v>
      </c>
      <c r="E187">
        <f t="shared" si="12"/>
        <v>0</v>
      </c>
      <c r="F187">
        <f t="shared" si="13"/>
        <v>0</v>
      </c>
      <c r="G187">
        <f t="shared" si="14"/>
        <v>0</v>
      </c>
      <c r="H187">
        <f t="shared" si="15"/>
        <v>0</v>
      </c>
      <c r="I187">
        <f t="shared" si="16"/>
        <v>1</v>
      </c>
      <c r="J187">
        <f t="shared" si="17"/>
        <v>0</v>
      </c>
    </row>
    <row r="188" spans="1:10" x14ac:dyDescent="0.2">
      <c r="A188" t="s">
        <v>201</v>
      </c>
      <c r="B188">
        <v>2014</v>
      </c>
      <c r="C188">
        <v>714</v>
      </c>
      <c r="D188" t="s">
        <v>16</v>
      </c>
      <c r="E188">
        <f t="shared" si="12"/>
        <v>0</v>
      </c>
      <c r="F188">
        <f t="shared" si="13"/>
        <v>0</v>
      </c>
      <c r="G188">
        <f t="shared" si="14"/>
        <v>0</v>
      </c>
      <c r="H188">
        <f t="shared" si="15"/>
        <v>0</v>
      </c>
      <c r="I188">
        <f t="shared" si="16"/>
        <v>1</v>
      </c>
      <c r="J188">
        <f t="shared" si="17"/>
        <v>0</v>
      </c>
    </row>
    <row r="189" spans="1:10" x14ac:dyDescent="0.2">
      <c r="A189" t="s">
        <v>202</v>
      </c>
      <c r="B189">
        <v>2015</v>
      </c>
      <c r="C189">
        <v>719</v>
      </c>
      <c r="D189" t="s">
        <v>34</v>
      </c>
      <c r="E189">
        <f t="shared" si="12"/>
        <v>1</v>
      </c>
      <c r="F189">
        <f t="shared" si="13"/>
        <v>0</v>
      </c>
      <c r="G189">
        <f t="shared" si="14"/>
        <v>1</v>
      </c>
      <c r="H189">
        <f t="shared" si="15"/>
        <v>0</v>
      </c>
      <c r="I189">
        <f t="shared" si="16"/>
        <v>0</v>
      </c>
      <c r="J189">
        <f t="shared" si="17"/>
        <v>0</v>
      </c>
    </row>
    <row r="190" spans="1:10" x14ac:dyDescent="0.2">
      <c r="A190" t="s">
        <v>203</v>
      </c>
      <c r="B190">
        <v>2015</v>
      </c>
      <c r="C190">
        <v>723</v>
      </c>
      <c r="D190" t="s">
        <v>34</v>
      </c>
      <c r="E190">
        <f t="shared" si="12"/>
        <v>1</v>
      </c>
      <c r="F190">
        <f t="shared" si="13"/>
        <v>0</v>
      </c>
      <c r="G190">
        <f t="shared" si="14"/>
        <v>1</v>
      </c>
      <c r="H190">
        <f t="shared" si="15"/>
        <v>0</v>
      </c>
      <c r="I190">
        <f t="shared" si="16"/>
        <v>0</v>
      </c>
      <c r="J190">
        <f t="shared" si="17"/>
        <v>0</v>
      </c>
    </row>
    <row r="191" spans="1:10" x14ac:dyDescent="0.2">
      <c r="A191" t="s">
        <v>204</v>
      </c>
      <c r="B191">
        <v>2018</v>
      </c>
      <c r="C191">
        <v>726</v>
      </c>
      <c r="D191" t="s">
        <v>34</v>
      </c>
      <c r="E191">
        <f t="shared" si="12"/>
        <v>1</v>
      </c>
      <c r="F191">
        <f t="shared" si="13"/>
        <v>0</v>
      </c>
      <c r="G191">
        <f t="shared" si="14"/>
        <v>1</v>
      </c>
      <c r="H191">
        <f t="shared" si="15"/>
        <v>0</v>
      </c>
      <c r="I191">
        <f t="shared" si="16"/>
        <v>0</v>
      </c>
      <c r="J191">
        <f t="shared" si="17"/>
        <v>0</v>
      </c>
    </row>
    <row r="192" spans="1:10" x14ac:dyDescent="0.2">
      <c r="A192" t="s">
        <v>205</v>
      </c>
      <c r="B192">
        <v>2018</v>
      </c>
      <c r="C192">
        <v>729</v>
      </c>
      <c r="D192" t="s">
        <v>11</v>
      </c>
      <c r="E192">
        <f t="shared" si="12"/>
        <v>0</v>
      </c>
      <c r="F192">
        <f t="shared" si="13"/>
        <v>1</v>
      </c>
      <c r="G192">
        <f t="shared" si="14"/>
        <v>0</v>
      </c>
      <c r="H192">
        <f t="shared" si="15"/>
        <v>0</v>
      </c>
      <c r="I192">
        <f t="shared" si="16"/>
        <v>0</v>
      </c>
      <c r="J192">
        <f t="shared" si="17"/>
        <v>0</v>
      </c>
    </row>
    <row r="193" spans="1:10" x14ac:dyDescent="0.2">
      <c r="A193" t="s">
        <v>206</v>
      </c>
      <c r="B193">
        <v>2016</v>
      </c>
      <c r="C193">
        <v>731</v>
      </c>
      <c r="D193" t="s">
        <v>11</v>
      </c>
      <c r="E193">
        <f t="shared" si="12"/>
        <v>0</v>
      </c>
      <c r="F193">
        <f t="shared" si="13"/>
        <v>1</v>
      </c>
      <c r="G193">
        <f t="shared" si="14"/>
        <v>0</v>
      </c>
      <c r="H193">
        <f t="shared" si="15"/>
        <v>0</v>
      </c>
      <c r="I193">
        <f t="shared" si="16"/>
        <v>0</v>
      </c>
      <c r="J193">
        <f t="shared" si="17"/>
        <v>0</v>
      </c>
    </row>
    <row r="194" spans="1:10" x14ac:dyDescent="0.2">
      <c r="A194" t="s">
        <v>207</v>
      </c>
      <c r="B194">
        <v>2015</v>
      </c>
      <c r="C194">
        <v>736</v>
      </c>
      <c r="D194" t="s">
        <v>11</v>
      </c>
      <c r="E194">
        <f t="shared" si="12"/>
        <v>0</v>
      </c>
      <c r="F194">
        <f t="shared" si="13"/>
        <v>1</v>
      </c>
      <c r="G194">
        <f t="shared" si="14"/>
        <v>0</v>
      </c>
      <c r="H194">
        <f t="shared" si="15"/>
        <v>0</v>
      </c>
      <c r="I194">
        <f t="shared" si="16"/>
        <v>0</v>
      </c>
      <c r="J194">
        <f t="shared" si="17"/>
        <v>0</v>
      </c>
    </row>
    <row r="195" spans="1:10" x14ac:dyDescent="0.2">
      <c r="A195" t="s">
        <v>208</v>
      </c>
      <c r="B195">
        <v>2017</v>
      </c>
      <c r="C195">
        <v>749</v>
      </c>
      <c r="D195" t="s">
        <v>16</v>
      </c>
      <c r="E195">
        <f t="shared" ref="E195:E232" si="18">IF(OR(ISNUMBER(FIND("CrABS", D195)), ISNUMBER(FIND("CrULN", D195))), 1, 0)</f>
        <v>0</v>
      </c>
      <c r="F195">
        <f t="shared" ref="F195:F232" si="19">IF(ISNUMBER(FIND("CrCl", D195)), 1, 0)</f>
        <v>0</v>
      </c>
      <c r="G195">
        <f t="shared" ref="G195:G232" si="20">IF(ISNUMBER(FIND("CrULN", D195)), 1, 0)</f>
        <v>0</v>
      </c>
      <c r="H195">
        <f t="shared" ref="H195:H232" si="21">IF(ISNUMBER(FIND("eGFR", D195)), 1, 0)</f>
        <v>0</v>
      </c>
      <c r="I195">
        <f t="shared" ref="I195:I232" si="22">IF(ISNUMBER(FIND("Heterogeneous", D195)), 1, 0)</f>
        <v>1</v>
      </c>
      <c r="J195">
        <f t="shared" ref="J195:J232" si="23">IF(ISNUMBER(FIND("n/a", D195)), 1, 0)</f>
        <v>0</v>
      </c>
    </row>
    <row r="196" spans="1:10" x14ac:dyDescent="0.2">
      <c r="A196" t="s">
        <v>209</v>
      </c>
      <c r="B196">
        <v>2015</v>
      </c>
      <c r="C196">
        <v>763</v>
      </c>
      <c r="D196" t="s">
        <v>16</v>
      </c>
      <c r="E196">
        <f t="shared" si="18"/>
        <v>0</v>
      </c>
      <c r="F196">
        <f t="shared" si="19"/>
        <v>0</v>
      </c>
      <c r="G196">
        <f t="shared" si="20"/>
        <v>0</v>
      </c>
      <c r="H196">
        <f t="shared" si="21"/>
        <v>0</v>
      </c>
      <c r="I196">
        <f t="shared" si="22"/>
        <v>1</v>
      </c>
      <c r="J196">
        <f t="shared" si="23"/>
        <v>0</v>
      </c>
    </row>
    <row r="197" spans="1:10" x14ac:dyDescent="0.2">
      <c r="A197" t="s">
        <v>210</v>
      </c>
      <c r="B197">
        <v>2014</v>
      </c>
      <c r="C197">
        <v>768</v>
      </c>
      <c r="D197" t="s">
        <v>13</v>
      </c>
      <c r="E197">
        <f t="shared" si="18"/>
        <v>0</v>
      </c>
      <c r="F197">
        <f t="shared" si="19"/>
        <v>0</v>
      </c>
      <c r="G197">
        <f t="shared" si="20"/>
        <v>0</v>
      </c>
      <c r="H197">
        <f t="shared" si="21"/>
        <v>0</v>
      </c>
      <c r="I197">
        <f t="shared" si="22"/>
        <v>0</v>
      </c>
      <c r="J197">
        <f t="shared" si="23"/>
        <v>1</v>
      </c>
    </row>
    <row r="198" spans="1:10" x14ac:dyDescent="0.2">
      <c r="A198" t="s">
        <v>211</v>
      </c>
      <c r="B198">
        <v>2019</v>
      </c>
      <c r="C198">
        <v>770</v>
      </c>
      <c r="D198" t="s">
        <v>11</v>
      </c>
      <c r="E198">
        <f t="shared" si="18"/>
        <v>0</v>
      </c>
      <c r="F198">
        <f t="shared" si="19"/>
        <v>1</v>
      </c>
      <c r="G198">
        <f t="shared" si="20"/>
        <v>0</v>
      </c>
      <c r="H198">
        <f t="shared" si="21"/>
        <v>0</v>
      </c>
      <c r="I198">
        <f t="shared" si="22"/>
        <v>0</v>
      </c>
      <c r="J198">
        <f t="shared" si="23"/>
        <v>0</v>
      </c>
    </row>
    <row r="199" spans="1:10" x14ac:dyDescent="0.2">
      <c r="A199" t="s">
        <v>212</v>
      </c>
      <c r="B199">
        <v>2017</v>
      </c>
      <c r="C199">
        <v>771</v>
      </c>
      <c r="D199" t="s">
        <v>11</v>
      </c>
      <c r="E199">
        <f t="shared" si="18"/>
        <v>0</v>
      </c>
      <c r="F199">
        <f t="shared" si="19"/>
        <v>1</v>
      </c>
      <c r="G199">
        <f t="shared" si="20"/>
        <v>0</v>
      </c>
      <c r="H199">
        <f t="shared" si="21"/>
        <v>0</v>
      </c>
      <c r="I199">
        <f t="shared" si="22"/>
        <v>0</v>
      </c>
      <c r="J199">
        <f t="shared" si="23"/>
        <v>0</v>
      </c>
    </row>
    <row r="200" spans="1:10" x14ac:dyDescent="0.2">
      <c r="A200" t="s">
        <v>213</v>
      </c>
      <c r="B200">
        <v>2015</v>
      </c>
      <c r="C200">
        <v>781</v>
      </c>
      <c r="D200" t="s">
        <v>11</v>
      </c>
      <c r="E200">
        <f t="shared" si="18"/>
        <v>0</v>
      </c>
      <c r="F200">
        <f t="shared" si="19"/>
        <v>1</v>
      </c>
      <c r="G200">
        <f t="shared" si="20"/>
        <v>0</v>
      </c>
      <c r="H200">
        <f t="shared" si="21"/>
        <v>0</v>
      </c>
      <c r="I200">
        <f t="shared" si="22"/>
        <v>0</v>
      </c>
      <c r="J200">
        <f t="shared" si="23"/>
        <v>0</v>
      </c>
    </row>
    <row r="201" spans="1:10" x14ac:dyDescent="0.2">
      <c r="A201" t="s">
        <v>214</v>
      </c>
      <c r="B201">
        <v>2018</v>
      </c>
      <c r="C201">
        <v>783</v>
      </c>
      <c r="D201" t="s">
        <v>16</v>
      </c>
      <c r="E201">
        <f t="shared" si="18"/>
        <v>0</v>
      </c>
      <c r="F201">
        <f t="shared" si="19"/>
        <v>0</v>
      </c>
      <c r="G201">
        <f t="shared" si="20"/>
        <v>0</v>
      </c>
      <c r="H201">
        <f t="shared" si="21"/>
        <v>0</v>
      </c>
      <c r="I201">
        <f t="shared" si="22"/>
        <v>1</v>
      </c>
      <c r="J201">
        <f t="shared" si="23"/>
        <v>0</v>
      </c>
    </row>
    <row r="202" spans="1:10" x14ac:dyDescent="0.2">
      <c r="A202" t="s">
        <v>215</v>
      </c>
      <c r="B202">
        <v>2015</v>
      </c>
      <c r="C202">
        <v>792</v>
      </c>
      <c r="D202" t="s">
        <v>11</v>
      </c>
      <c r="E202">
        <f t="shared" si="18"/>
        <v>0</v>
      </c>
      <c r="F202">
        <f t="shared" si="19"/>
        <v>1</v>
      </c>
      <c r="G202">
        <f t="shared" si="20"/>
        <v>0</v>
      </c>
      <c r="H202">
        <f t="shared" si="21"/>
        <v>0</v>
      </c>
      <c r="I202">
        <f t="shared" si="22"/>
        <v>0</v>
      </c>
      <c r="J202">
        <f t="shared" si="23"/>
        <v>0</v>
      </c>
    </row>
    <row r="203" spans="1:10" x14ac:dyDescent="0.2">
      <c r="A203" t="s">
        <v>216</v>
      </c>
      <c r="B203">
        <v>2018</v>
      </c>
      <c r="C203">
        <v>794</v>
      </c>
      <c r="D203" t="s">
        <v>11</v>
      </c>
      <c r="E203">
        <f t="shared" si="18"/>
        <v>0</v>
      </c>
      <c r="F203">
        <f t="shared" si="19"/>
        <v>1</v>
      </c>
      <c r="G203">
        <f t="shared" si="20"/>
        <v>0</v>
      </c>
      <c r="H203">
        <f t="shared" si="21"/>
        <v>0</v>
      </c>
      <c r="I203">
        <f t="shared" si="22"/>
        <v>0</v>
      </c>
      <c r="J203">
        <f t="shared" si="23"/>
        <v>0</v>
      </c>
    </row>
    <row r="204" spans="1:10" x14ac:dyDescent="0.2">
      <c r="A204" t="s">
        <v>217</v>
      </c>
      <c r="B204">
        <v>2015</v>
      </c>
      <c r="C204">
        <v>802</v>
      </c>
      <c r="D204" t="s">
        <v>34</v>
      </c>
      <c r="E204">
        <f t="shared" si="18"/>
        <v>1</v>
      </c>
      <c r="F204">
        <f t="shared" si="19"/>
        <v>0</v>
      </c>
      <c r="G204">
        <f t="shared" si="20"/>
        <v>1</v>
      </c>
      <c r="H204">
        <f t="shared" si="21"/>
        <v>0</v>
      </c>
      <c r="I204">
        <f t="shared" si="22"/>
        <v>0</v>
      </c>
      <c r="J204">
        <f t="shared" si="23"/>
        <v>0</v>
      </c>
    </row>
    <row r="205" spans="1:10" x14ac:dyDescent="0.2">
      <c r="A205" t="s">
        <v>218</v>
      </c>
      <c r="B205">
        <v>2015</v>
      </c>
      <c r="C205">
        <v>815</v>
      </c>
      <c r="D205" t="s">
        <v>11</v>
      </c>
      <c r="E205">
        <f t="shared" si="18"/>
        <v>0</v>
      </c>
      <c r="F205">
        <f t="shared" si="19"/>
        <v>1</v>
      </c>
      <c r="G205">
        <f t="shared" si="20"/>
        <v>0</v>
      </c>
      <c r="H205">
        <f t="shared" si="21"/>
        <v>0</v>
      </c>
      <c r="I205">
        <f t="shared" si="22"/>
        <v>0</v>
      </c>
      <c r="J205">
        <f t="shared" si="23"/>
        <v>0</v>
      </c>
    </row>
    <row r="206" spans="1:10" x14ac:dyDescent="0.2">
      <c r="A206" t="s">
        <v>219</v>
      </c>
      <c r="B206">
        <v>2015</v>
      </c>
      <c r="C206">
        <v>823</v>
      </c>
      <c r="D206" t="s">
        <v>11</v>
      </c>
      <c r="E206">
        <f t="shared" si="18"/>
        <v>0</v>
      </c>
      <c r="F206">
        <f t="shared" si="19"/>
        <v>1</v>
      </c>
      <c r="G206">
        <f t="shared" si="20"/>
        <v>0</v>
      </c>
      <c r="H206">
        <f t="shared" si="21"/>
        <v>0</v>
      </c>
      <c r="I206">
        <f t="shared" si="22"/>
        <v>0</v>
      </c>
      <c r="J206">
        <f t="shared" si="23"/>
        <v>0</v>
      </c>
    </row>
    <row r="207" spans="1:10" x14ac:dyDescent="0.2">
      <c r="A207" t="s">
        <v>220</v>
      </c>
      <c r="B207">
        <v>2014</v>
      </c>
      <c r="C207">
        <v>866</v>
      </c>
      <c r="D207" t="s">
        <v>11</v>
      </c>
      <c r="E207">
        <f t="shared" si="18"/>
        <v>0</v>
      </c>
      <c r="F207">
        <f t="shared" si="19"/>
        <v>1</v>
      </c>
      <c r="G207">
        <f t="shared" si="20"/>
        <v>0</v>
      </c>
      <c r="H207">
        <f t="shared" si="21"/>
        <v>0</v>
      </c>
      <c r="I207">
        <f t="shared" si="22"/>
        <v>0</v>
      </c>
      <c r="J207">
        <f t="shared" si="23"/>
        <v>0</v>
      </c>
    </row>
    <row r="208" spans="1:10" x14ac:dyDescent="0.2">
      <c r="A208" t="s">
        <v>221</v>
      </c>
      <c r="B208">
        <v>2017</v>
      </c>
      <c r="C208">
        <v>867</v>
      </c>
      <c r="D208" t="s">
        <v>11</v>
      </c>
      <c r="E208">
        <f t="shared" si="18"/>
        <v>0</v>
      </c>
      <c r="F208">
        <f t="shared" si="19"/>
        <v>1</v>
      </c>
      <c r="G208">
        <f t="shared" si="20"/>
        <v>0</v>
      </c>
      <c r="H208">
        <f t="shared" si="21"/>
        <v>0</v>
      </c>
      <c r="I208">
        <f t="shared" si="22"/>
        <v>0</v>
      </c>
      <c r="J208">
        <f t="shared" si="23"/>
        <v>0</v>
      </c>
    </row>
    <row r="209" spans="1:10" x14ac:dyDescent="0.2">
      <c r="A209" t="s">
        <v>222</v>
      </c>
      <c r="B209">
        <v>2014</v>
      </c>
      <c r="C209">
        <v>875</v>
      </c>
      <c r="D209" t="s">
        <v>34</v>
      </c>
      <c r="E209">
        <f t="shared" si="18"/>
        <v>1</v>
      </c>
      <c r="F209">
        <f t="shared" si="19"/>
        <v>0</v>
      </c>
      <c r="G209">
        <f t="shared" si="20"/>
        <v>1</v>
      </c>
      <c r="H209">
        <f t="shared" si="21"/>
        <v>0</v>
      </c>
      <c r="I209">
        <f t="shared" si="22"/>
        <v>0</v>
      </c>
      <c r="J209">
        <f t="shared" si="23"/>
        <v>0</v>
      </c>
    </row>
    <row r="210" spans="1:10" x14ac:dyDescent="0.2">
      <c r="A210" t="s">
        <v>223</v>
      </c>
      <c r="B210">
        <v>2015</v>
      </c>
      <c r="C210">
        <v>882</v>
      </c>
      <c r="D210" t="s">
        <v>16</v>
      </c>
      <c r="E210">
        <f t="shared" si="18"/>
        <v>0</v>
      </c>
      <c r="F210">
        <f t="shared" si="19"/>
        <v>0</v>
      </c>
      <c r="G210">
        <f t="shared" si="20"/>
        <v>0</v>
      </c>
      <c r="H210">
        <f t="shared" si="21"/>
        <v>0</v>
      </c>
      <c r="I210">
        <f t="shared" si="22"/>
        <v>1</v>
      </c>
      <c r="J210">
        <f t="shared" si="23"/>
        <v>0</v>
      </c>
    </row>
    <row r="211" spans="1:10" x14ac:dyDescent="0.2">
      <c r="A211" t="s">
        <v>224</v>
      </c>
      <c r="B211">
        <v>2015</v>
      </c>
      <c r="C211">
        <v>902</v>
      </c>
      <c r="D211" t="s">
        <v>11</v>
      </c>
      <c r="E211">
        <f t="shared" si="18"/>
        <v>0</v>
      </c>
      <c r="F211">
        <f t="shared" si="19"/>
        <v>1</v>
      </c>
      <c r="G211">
        <f t="shared" si="20"/>
        <v>0</v>
      </c>
      <c r="H211">
        <f t="shared" si="21"/>
        <v>0</v>
      </c>
      <c r="I211">
        <f t="shared" si="22"/>
        <v>0</v>
      </c>
      <c r="J211">
        <f t="shared" si="23"/>
        <v>0</v>
      </c>
    </row>
    <row r="212" spans="1:10" x14ac:dyDescent="0.2">
      <c r="A212" t="s">
        <v>225</v>
      </c>
      <c r="B212">
        <v>2015</v>
      </c>
      <c r="C212">
        <v>915</v>
      </c>
      <c r="D212" t="s">
        <v>11</v>
      </c>
      <c r="E212">
        <f t="shared" si="18"/>
        <v>0</v>
      </c>
      <c r="F212">
        <f t="shared" si="19"/>
        <v>1</v>
      </c>
      <c r="G212">
        <f t="shared" si="20"/>
        <v>0</v>
      </c>
      <c r="H212">
        <f t="shared" si="21"/>
        <v>0</v>
      </c>
      <c r="I212">
        <f t="shared" si="22"/>
        <v>0</v>
      </c>
      <c r="J212">
        <f t="shared" si="23"/>
        <v>0</v>
      </c>
    </row>
    <row r="213" spans="1:10" x14ac:dyDescent="0.2">
      <c r="A213" t="s">
        <v>226</v>
      </c>
      <c r="B213">
        <v>2017</v>
      </c>
      <c r="C213">
        <v>930</v>
      </c>
      <c r="D213" t="s">
        <v>22</v>
      </c>
      <c r="E213">
        <f t="shared" si="18"/>
        <v>1</v>
      </c>
      <c r="F213">
        <f t="shared" si="19"/>
        <v>0</v>
      </c>
      <c r="G213">
        <f t="shared" si="20"/>
        <v>0</v>
      </c>
      <c r="H213">
        <f t="shared" si="21"/>
        <v>0</v>
      </c>
      <c r="I213">
        <f t="shared" si="22"/>
        <v>0</v>
      </c>
      <c r="J213">
        <f t="shared" si="23"/>
        <v>0</v>
      </c>
    </row>
    <row r="214" spans="1:10" x14ac:dyDescent="0.2">
      <c r="A214" t="s">
        <v>227</v>
      </c>
      <c r="B214">
        <v>2015</v>
      </c>
      <c r="C214">
        <v>931</v>
      </c>
      <c r="D214" t="s">
        <v>11</v>
      </c>
      <c r="E214">
        <f t="shared" si="18"/>
        <v>0</v>
      </c>
      <c r="F214">
        <f t="shared" si="19"/>
        <v>1</v>
      </c>
      <c r="G214">
        <f t="shared" si="20"/>
        <v>0</v>
      </c>
      <c r="H214">
        <f t="shared" si="21"/>
        <v>0</v>
      </c>
      <c r="I214">
        <f t="shared" si="22"/>
        <v>0</v>
      </c>
      <c r="J214">
        <f t="shared" si="23"/>
        <v>0</v>
      </c>
    </row>
    <row r="215" spans="1:10" x14ac:dyDescent="0.2">
      <c r="A215" t="s">
        <v>228</v>
      </c>
      <c r="B215">
        <v>2016</v>
      </c>
      <c r="C215">
        <v>947</v>
      </c>
      <c r="D215" t="s">
        <v>16</v>
      </c>
      <c r="E215">
        <f t="shared" si="18"/>
        <v>0</v>
      </c>
      <c r="F215">
        <f t="shared" si="19"/>
        <v>0</v>
      </c>
      <c r="G215">
        <f t="shared" si="20"/>
        <v>0</v>
      </c>
      <c r="H215">
        <f t="shared" si="21"/>
        <v>0</v>
      </c>
      <c r="I215">
        <f t="shared" si="22"/>
        <v>1</v>
      </c>
      <c r="J215">
        <f t="shared" si="23"/>
        <v>0</v>
      </c>
    </row>
    <row r="216" spans="1:10" x14ac:dyDescent="0.2">
      <c r="A216" t="s">
        <v>229</v>
      </c>
      <c r="B216">
        <v>2015</v>
      </c>
      <c r="C216">
        <v>970</v>
      </c>
      <c r="D216" t="s">
        <v>16</v>
      </c>
      <c r="E216">
        <f t="shared" si="18"/>
        <v>0</v>
      </c>
      <c r="F216">
        <f t="shared" si="19"/>
        <v>0</v>
      </c>
      <c r="G216">
        <f t="shared" si="20"/>
        <v>0</v>
      </c>
      <c r="H216">
        <f t="shared" si="21"/>
        <v>0</v>
      </c>
      <c r="I216">
        <f t="shared" si="22"/>
        <v>1</v>
      </c>
      <c r="J216">
        <f t="shared" si="23"/>
        <v>0</v>
      </c>
    </row>
    <row r="217" spans="1:10" x14ac:dyDescent="0.2">
      <c r="A217" t="s">
        <v>230</v>
      </c>
      <c r="B217">
        <v>2016</v>
      </c>
      <c r="C217">
        <v>1010</v>
      </c>
      <c r="D217" t="s">
        <v>16</v>
      </c>
      <c r="E217">
        <f t="shared" si="18"/>
        <v>0</v>
      </c>
      <c r="F217">
        <f t="shared" si="19"/>
        <v>0</v>
      </c>
      <c r="G217">
        <f t="shared" si="20"/>
        <v>0</v>
      </c>
      <c r="H217">
        <f t="shared" si="21"/>
        <v>0</v>
      </c>
      <c r="I217">
        <f t="shared" si="22"/>
        <v>1</v>
      </c>
      <c r="J217">
        <f t="shared" si="23"/>
        <v>0</v>
      </c>
    </row>
    <row r="218" spans="1:10" x14ac:dyDescent="0.2">
      <c r="A218" t="s">
        <v>231</v>
      </c>
      <c r="B218">
        <v>2015</v>
      </c>
      <c r="C218">
        <v>1021</v>
      </c>
      <c r="D218" t="s">
        <v>34</v>
      </c>
      <c r="E218">
        <f t="shared" si="18"/>
        <v>1</v>
      </c>
      <c r="F218">
        <f t="shared" si="19"/>
        <v>0</v>
      </c>
      <c r="G218">
        <f t="shared" si="20"/>
        <v>1</v>
      </c>
      <c r="H218">
        <f t="shared" si="21"/>
        <v>0</v>
      </c>
      <c r="I218">
        <f t="shared" si="22"/>
        <v>0</v>
      </c>
      <c r="J218">
        <f t="shared" si="23"/>
        <v>0</v>
      </c>
    </row>
    <row r="219" spans="1:10" x14ac:dyDescent="0.2">
      <c r="A219" t="s">
        <v>232</v>
      </c>
      <c r="B219">
        <v>2019</v>
      </c>
      <c r="C219">
        <v>1030</v>
      </c>
      <c r="D219" t="s">
        <v>16</v>
      </c>
      <c r="E219">
        <f t="shared" si="18"/>
        <v>0</v>
      </c>
      <c r="F219">
        <f t="shared" si="19"/>
        <v>0</v>
      </c>
      <c r="G219">
        <f t="shared" si="20"/>
        <v>0</v>
      </c>
      <c r="H219">
        <f t="shared" si="21"/>
        <v>0</v>
      </c>
      <c r="I219">
        <f t="shared" si="22"/>
        <v>1</v>
      </c>
      <c r="J219">
        <f t="shared" si="23"/>
        <v>0</v>
      </c>
    </row>
    <row r="220" spans="1:10" x14ac:dyDescent="0.2">
      <c r="A220" t="s">
        <v>233</v>
      </c>
      <c r="B220">
        <v>2016</v>
      </c>
      <c r="C220">
        <v>1134</v>
      </c>
      <c r="D220" t="s">
        <v>11</v>
      </c>
      <c r="E220">
        <f t="shared" si="18"/>
        <v>0</v>
      </c>
      <c r="F220">
        <f t="shared" si="19"/>
        <v>1</v>
      </c>
      <c r="G220">
        <f t="shared" si="20"/>
        <v>0</v>
      </c>
      <c r="H220">
        <f t="shared" si="21"/>
        <v>0</v>
      </c>
      <c r="I220">
        <f t="shared" si="22"/>
        <v>0</v>
      </c>
      <c r="J220">
        <f t="shared" si="23"/>
        <v>0</v>
      </c>
    </row>
    <row r="221" spans="1:10" x14ac:dyDescent="0.2">
      <c r="A221" t="s">
        <v>234</v>
      </c>
      <c r="B221">
        <v>2014</v>
      </c>
      <c r="C221">
        <v>1182</v>
      </c>
      <c r="D221" t="s">
        <v>34</v>
      </c>
      <c r="E221">
        <f t="shared" si="18"/>
        <v>1</v>
      </c>
      <c r="F221">
        <f t="shared" si="19"/>
        <v>0</v>
      </c>
      <c r="G221">
        <f t="shared" si="20"/>
        <v>1</v>
      </c>
      <c r="H221">
        <f t="shared" si="21"/>
        <v>0</v>
      </c>
      <c r="I221">
        <f t="shared" si="22"/>
        <v>0</v>
      </c>
      <c r="J221">
        <f t="shared" si="23"/>
        <v>0</v>
      </c>
    </row>
    <row r="222" spans="1:10" x14ac:dyDescent="0.2">
      <c r="A222" t="s">
        <v>235</v>
      </c>
      <c r="B222">
        <v>2015</v>
      </c>
      <c r="C222">
        <v>1202</v>
      </c>
      <c r="D222" t="s">
        <v>34</v>
      </c>
      <c r="E222">
        <f t="shared" si="18"/>
        <v>1</v>
      </c>
      <c r="F222">
        <f t="shared" si="19"/>
        <v>0</v>
      </c>
      <c r="G222">
        <f t="shared" si="20"/>
        <v>1</v>
      </c>
      <c r="H222">
        <f t="shared" si="21"/>
        <v>0</v>
      </c>
      <c r="I222">
        <f t="shared" si="22"/>
        <v>0</v>
      </c>
      <c r="J222">
        <f t="shared" si="23"/>
        <v>0</v>
      </c>
    </row>
    <row r="223" spans="1:10" x14ac:dyDescent="0.2">
      <c r="A223" t="s">
        <v>236</v>
      </c>
      <c r="B223">
        <v>2014</v>
      </c>
      <c r="C223">
        <v>1225</v>
      </c>
      <c r="D223" t="s">
        <v>13</v>
      </c>
      <c r="E223">
        <f t="shared" si="18"/>
        <v>0</v>
      </c>
      <c r="F223">
        <f t="shared" si="19"/>
        <v>0</v>
      </c>
      <c r="G223">
        <f t="shared" si="20"/>
        <v>0</v>
      </c>
      <c r="H223">
        <f t="shared" si="21"/>
        <v>0</v>
      </c>
      <c r="I223">
        <f t="shared" si="22"/>
        <v>0</v>
      </c>
      <c r="J223">
        <f t="shared" si="23"/>
        <v>1</v>
      </c>
    </row>
    <row r="224" spans="1:10" x14ac:dyDescent="0.2">
      <c r="A224" t="s">
        <v>237</v>
      </c>
      <c r="B224">
        <v>2016</v>
      </c>
      <c r="C224">
        <v>1253</v>
      </c>
      <c r="D224" t="s">
        <v>16</v>
      </c>
      <c r="E224">
        <f t="shared" si="18"/>
        <v>0</v>
      </c>
      <c r="F224">
        <f t="shared" si="19"/>
        <v>0</v>
      </c>
      <c r="G224">
        <f t="shared" si="20"/>
        <v>0</v>
      </c>
      <c r="H224">
        <f t="shared" si="21"/>
        <v>0</v>
      </c>
      <c r="I224">
        <f t="shared" si="22"/>
        <v>1</v>
      </c>
      <c r="J224">
        <f t="shared" si="23"/>
        <v>0</v>
      </c>
    </row>
    <row r="225" spans="1:10" x14ac:dyDescent="0.2">
      <c r="A225" t="s">
        <v>238</v>
      </c>
      <c r="B225">
        <v>2014</v>
      </c>
      <c r="C225">
        <v>1274</v>
      </c>
      <c r="D225" t="s">
        <v>11</v>
      </c>
      <c r="E225">
        <f t="shared" si="18"/>
        <v>0</v>
      </c>
      <c r="F225">
        <f t="shared" si="19"/>
        <v>1</v>
      </c>
      <c r="G225">
        <f t="shared" si="20"/>
        <v>0</v>
      </c>
      <c r="H225">
        <f t="shared" si="21"/>
        <v>0</v>
      </c>
      <c r="I225">
        <f t="shared" si="22"/>
        <v>0</v>
      </c>
      <c r="J225">
        <f t="shared" si="23"/>
        <v>0</v>
      </c>
    </row>
    <row r="226" spans="1:10" x14ac:dyDescent="0.2">
      <c r="A226" t="s">
        <v>239</v>
      </c>
      <c r="B226">
        <v>2017</v>
      </c>
      <c r="C226">
        <v>1301</v>
      </c>
      <c r="D226" t="s">
        <v>11</v>
      </c>
      <c r="E226">
        <f t="shared" si="18"/>
        <v>0</v>
      </c>
      <c r="F226">
        <f t="shared" si="19"/>
        <v>1</v>
      </c>
      <c r="G226">
        <f t="shared" si="20"/>
        <v>0</v>
      </c>
      <c r="H226">
        <f t="shared" si="21"/>
        <v>0</v>
      </c>
      <c r="I226">
        <f t="shared" si="22"/>
        <v>0</v>
      </c>
      <c r="J226">
        <f t="shared" si="23"/>
        <v>0</v>
      </c>
    </row>
    <row r="227" spans="1:10" x14ac:dyDescent="0.2">
      <c r="A227" t="s">
        <v>240</v>
      </c>
      <c r="B227">
        <v>2016</v>
      </c>
      <c r="C227">
        <v>1305</v>
      </c>
      <c r="D227" t="s">
        <v>22</v>
      </c>
      <c r="E227">
        <f t="shared" si="18"/>
        <v>1</v>
      </c>
      <c r="F227">
        <f t="shared" si="19"/>
        <v>0</v>
      </c>
      <c r="G227">
        <f t="shared" si="20"/>
        <v>0</v>
      </c>
      <c r="H227">
        <f t="shared" si="21"/>
        <v>0</v>
      </c>
      <c r="I227">
        <f t="shared" si="22"/>
        <v>0</v>
      </c>
      <c r="J227">
        <f t="shared" si="23"/>
        <v>0</v>
      </c>
    </row>
    <row r="228" spans="1:10" x14ac:dyDescent="0.2">
      <c r="A228" t="s">
        <v>241</v>
      </c>
      <c r="B228">
        <v>2014</v>
      </c>
      <c r="C228">
        <v>1428</v>
      </c>
      <c r="D228" t="s">
        <v>16</v>
      </c>
      <c r="E228">
        <f t="shared" si="18"/>
        <v>0</v>
      </c>
      <c r="F228">
        <f t="shared" si="19"/>
        <v>0</v>
      </c>
      <c r="G228">
        <f t="shared" si="20"/>
        <v>0</v>
      </c>
      <c r="H228">
        <f t="shared" si="21"/>
        <v>0</v>
      </c>
      <c r="I228">
        <f t="shared" si="22"/>
        <v>1</v>
      </c>
      <c r="J228">
        <f t="shared" si="23"/>
        <v>0</v>
      </c>
    </row>
    <row r="229" spans="1:10" x14ac:dyDescent="0.2">
      <c r="A229" t="s">
        <v>242</v>
      </c>
      <c r="B229">
        <v>2014</v>
      </c>
      <c r="C229">
        <v>1509</v>
      </c>
      <c r="D229" t="s">
        <v>34</v>
      </c>
      <c r="E229">
        <f t="shared" si="18"/>
        <v>1</v>
      </c>
      <c r="F229">
        <f t="shared" si="19"/>
        <v>0</v>
      </c>
      <c r="G229">
        <f t="shared" si="20"/>
        <v>1</v>
      </c>
      <c r="H229">
        <f t="shared" si="21"/>
        <v>0</v>
      </c>
      <c r="I229">
        <f t="shared" si="22"/>
        <v>0</v>
      </c>
      <c r="J229">
        <f t="shared" si="23"/>
        <v>0</v>
      </c>
    </row>
    <row r="230" spans="1:10" x14ac:dyDescent="0.2">
      <c r="A230" t="s">
        <v>243</v>
      </c>
      <c r="B230">
        <v>2017</v>
      </c>
      <c r="C230">
        <v>1844</v>
      </c>
      <c r="D230" t="s">
        <v>16</v>
      </c>
      <c r="E230">
        <f t="shared" si="18"/>
        <v>0</v>
      </c>
      <c r="F230">
        <f t="shared" si="19"/>
        <v>0</v>
      </c>
      <c r="G230">
        <f t="shared" si="20"/>
        <v>0</v>
      </c>
      <c r="H230">
        <f t="shared" si="21"/>
        <v>0</v>
      </c>
      <c r="I230">
        <f t="shared" si="22"/>
        <v>1</v>
      </c>
      <c r="J230">
        <f t="shared" si="23"/>
        <v>0</v>
      </c>
    </row>
    <row r="231" spans="1:10" x14ac:dyDescent="0.2">
      <c r="A231" t="s">
        <v>244</v>
      </c>
      <c r="B231">
        <v>2014</v>
      </c>
      <c r="C231">
        <v>1846</v>
      </c>
      <c r="D231" t="s">
        <v>34</v>
      </c>
      <c r="E231">
        <f t="shared" si="18"/>
        <v>1</v>
      </c>
      <c r="F231">
        <f t="shared" si="19"/>
        <v>0</v>
      </c>
      <c r="G231">
        <f t="shared" si="20"/>
        <v>1</v>
      </c>
      <c r="H231">
        <f t="shared" si="21"/>
        <v>0</v>
      </c>
      <c r="I231">
        <f t="shared" si="22"/>
        <v>0</v>
      </c>
      <c r="J231">
        <f t="shared" si="23"/>
        <v>0</v>
      </c>
    </row>
    <row r="232" spans="1:10" x14ac:dyDescent="0.2">
      <c r="A232" t="s">
        <v>245</v>
      </c>
      <c r="B232">
        <v>2016</v>
      </c>
      <c r="C232">
        <v>3246</v>
      </c>
      <c r="D232" t="s">
        <v>16</v>
      </c>
      <c r="E232">
        <f t="shared" si="18"/>
        <v>0</v>
      </c>
      <c r="F232">
        <f t="shared" si="19"/>
        <v>0</v>
      </c>
      <c r="G232">
        <f t="shared" si="20"/>
        <v>0</v>
      </c>
      <c r="H232">
        <f t="shared" si="21"/>
        <v>0</v>
      </c>
      <c r="I232">
        <f t="shared" si="22"/>
        <v>1</v>
      </c>
      <c r="J232">
        <f t="shared" si="2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Karol</dc:creator>
  <cp:lastModifiedBy>akarol47@outlook.com</cp:lastModifiedBy>
  <dcterms:created xsi:type="dcterms:W3CDTF">2024-03-07T17:09:33Z</dcterms:created>
  <dcterms:modified xsi:type="dcterms:W3CDTF">2024-08-07T19:58:09Z</dcterms:modified>
</cp:coreProperties>
</file>
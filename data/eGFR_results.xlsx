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3F35B01C-2C42-8B47-9FA3-945209C6BB84}" xr6:coauthVersionLast="47" xr6:coauthVersionMax="47" xr10:uidLastSave="{00000000-0000-0000-0000-000000000000}"/>
  <bookViews>
    <workbookView xWindow="0" yWindow="500" windowWidth="23780" windowHeight="15640" xr2:uid="{00000000-000D-0000-FFFF-FFFF00000000}"/>
  </bookViews>
  <sheets>
    <sheet name="Combined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2" i="1"/>
</calcChain>
</file>

<file path=xl/sharedStrings.xml><?xml version="1.0" encoding="utf-8"?>
<sst xmlns="http://schemas.openxmlformats.org/spreadsheetml/2006/main" count="366" uniqueCount="35">
  <si>
    <t>Variable</t>
  </si>
  <si>
    <t>p-value</t>
  </si>
  <si>
    <t>Test</t>
  </si>
  <si>
    <t>Column</t>
  </si>
  <si>
    <t>crabs</t>
  </si>
  <si>
    <t>Fisher's Exact Test</t>
  </si>
  <si>
    <t>2013_2015_enrollment</t>
  </si>
  <si>
    <t>crcl</t>
  </si>
  <si>
    <t>Chi-Squared Test</t>
  </si>
  <si>
    <t>cruln</t>
  </si>
  <si>
    <t>egfr</t>
  </si>
  <si>
    <t>heterogenous</t>
  </si>
  <si>
    <t>n_a_formula</t>
  </si>
  <si>
    <t>2016_2018_enrollment</t>
  </si>
  <si>
    <t>2019_2022_enrollment</t>
  </si>
  <si>
    <t>Breast</t>
  </si>
  <si>
    <t>GI</t>
  </si>
  <si>
    <t>GU</t>
  </si>
  <si>
    <t>Gyn</t>
  </si>
  <si>
    <t>HN</t>
  </si>
  <si>
    <t>Heme</t>
  </si>
  <si>
    <t>Lung</t>
  </si>
  <si>
    <t>Skin</t>
  </si>
  <si>
    <t>it</t>
  </si>
  <si>
    <t>target</t>
  </si>
  <si>
    <t>chemo</t>
  </si>
  <si>
    <t>ba</t>
  </si>
  <si>
    <t>other</t>
  </si>
  <si>
    <t>endo</t>
  </si>
  <si>
    <t>therapy_combination</t>
  </si>
  <si>
    <t>sponsor_type</t>
  </si>
  <si>
    <t>t-test</t>
  </si>
  <si>
    <t>AA_percentage</t>
  </si>
  <si>
    <t>p&lt;0.01</t>
  </si>
  <si>
    <t>p&lt;0.05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</si>
</sst>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A4D1D-EC42-0844-BE82-2DBA8746F429}" name="Table1" displayName="Table1" ref="A1:F121" totalsRowShown="0">
  <autoFilter ref="A1:F121" xr:uid="{34AA4D1D-EC42-0844-BE82-2DBA8746F429}"/>
  <tableColumns count="6">
    <tableColumn id="1" xr3:uid="{199A846A-B087-C847-A926-53BBFD6932F8}" name="Variable"/>
    <tableColumn id="2" xr3:uid="{EB624B6B-62A5-3748-902C-1839D6F33938}" name="p-value"/>
    <tableColumn id="6" xr3:uid="{B9FA09F0-04F3-4441-B47E-7337E4E42D33}" name="p&lt;0.01">
      <calculatedColumnFormula>IF(Table1[[#This Row],[p-value]]&lt;0.1, "*","")</calculatedColumnFormula>
    </tableColumn>
    <tableColumn id="7" xr3:uid="{3EC28B6C-9F6D-3840-9252-B3BF8DA93A8D}" name="p&lt;0.05">
      <calculatedColumnFormula>IF(Table1[[#This Row],[p-value]]&lt;0.05, "**","")</calculatedColumnFormula>
    </tableColumn>
    <tableColumn id="3" xr3:uid="{4604BC40-68A9-C941-A486-15A2D556DCF7}" name="Test"/>
    <tableColumn id="4" xr3:uid="{FC1F7D9B-C607-FA4E-A134-915D44B56099}" name="Colum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D12" sqref="D12"/>
    </sheetView>
  </sheetViews>
  <sheetFormatPr baseColWidth="10" defaultRowHeight="15" x14ac:dyDescent="0.2"/>
  <cols>
    <col min="2" max="4" width="16.1640625" customWidth="1"/>
    <col min="5" max="5" width="22.5" customWidth="1"/>
  </cols>
  <sheetData>
    <row r="1" spans="1:6" x14ac:dyDescent="0.2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</v>
      </c>
    </row>
    <row r="2" spans="1:6" x14ac:dyDescent="0.2">
      <c r="A2" t="s">
        <v>4</v>
      </c>
      <c r="B2">
        <v>0.30399999999999999</v>
      </c>
      <c r="C2" t="str">
        <f>IF(Table1[[#This Row],[p-value]]&lt;0.1, "*","")</f>
        <v/>
      </c>
      <c r="D2" t="str">
        <f>IF(Table1[[#This Row],[p-value]]&lt;0.05, "**","")</f>
        <v/>
      </c>
      <c r="E2" t="s">
        <v>5</v>
      </c>
      <c r="F2" t="s">
        <v>6</v>
      </c>
    </row>
    <row r="3" spans="1:6" x14ac:dyDescent="0.2">
      <c r="A3" t="s">
        <v>7</v>
      </c>
      <c r="B3">
        <v>0.38600000000000001</v>
      </c>
      <c r="C3" t="str">
        <f>IF(Table1[[#This Row],[p-value]]&lt;0.1, "*","")</f>
        <v/>
      </c>
      <c r="D3" t="str">
        <f>IF(Table1[[#This Row],[p-value]]&lt;0.05, "**","")</f>
        <v/>
      </c>
      <c r="E3" t="s">
        <v>8</v>
      </c>
      <c r="F3" t="s">
        <v>6</v>
      </c>
    </row>
    <row r="4" spans="1:6" x14ac:dyDescent="0.2">
      <c r="A4" t="s">
        <v>9</v>
      </c>
      <c r="B4">
        <v>2.4E-2</v>
      </c>
      <c r="C4" t="str">
        <f>IF(Table1[[#This Row],[p-value]]&lt;0.1, "*","")</f>
        <v>*</v>
      </c>
      <c r="D4" t="str">
        <f>IF(Table1[[#This Row],[p-value]]&lt;0.05, "**","")</f>
        <v>**</v>
      </c>
      <c r="E4" t="s">
        <v>8</v>
      </c>
      <c r="F4" t="s">
        <v>6</v>
      </c>
    </row>
    <row r="5" spans="1:6" x14ac:dyDescent="0.2">
      <c r="A5" t="s">
        <v>10</v>
      </c>
      <c r="B5">
        <v>0.63100000000000001</v>
      </c>
      <c r="C5" t="str">
        <f>IF(Table1[[#This Row],[p-value]]&lt;0.1, "*","")</f>
        <v/>
      </c>
      <c r="D5" t="str">
        <f>IF(Table1[[#This Row],[p-value]]&lt;0.05, "**","")</f>
        <v/>
      </c>
      <c r="E5" t="s">
        <v>5</v>
      </c>
      <c r="F5" t="s">
        <v>6</v>
      </c>
    </row>
    <row r="6" spans="1:6" x14ac:dyDescent="0.2">
      <c r="A6" t="s">
        <v>11</v>
      </c>
      <c r="B6">
        <v>0.308</v>
      </c>
      <c r="C6" t="str">
        <f>IF(Table1[[#This Row],[p-value]]&lt;0.1, "*","")</f>
        <v/>
      </c>
      <c r="D6" t="str">
        <f>IF(Table1[[#This Row],[p-value]]&lt;0.05, "**","")</f>
        <v/>
      </c>
      <c r="E6" t="s">
        <v>8</v>
      </c>
      <c r="F6" t="s">
        <v>6</v>
      </c>
    </row>
    <row r="7" spans="1:6" x14ac:dyDescent="0.2">
      <c r="A7" t="s">
        <v>12</v>
      </c>
      <c r="B7">
        <v>0.03</v>
      </c>
      <c r="C7" t="str">
        <f>IF(Table1[[#This Row],[p-value]]&lt;0.1, "*","")</f>
        <v>*</v>
      </c>
      <c r="D7" t="str">
        <f>IF(Table1[[#This Row],[p-value]]&lt;0.05, "**","")</f>
        <v>**</v>
      </c>
      <c r="E7" t="s">
        <v>5</v>
      </c>
      <c r="F7" t="s">
        <v>6</v>
      </c>
    </row>
    <row r="8" spans="1:6" x14ac:dyDescent="0.2">
      <c r="A8" t="s">
        <v>4</v>
      </c>
      <c r="B8">
        <v>0.28199999999999997</v>
      </c>
      <c r="C8" t="str">
        <f>IF(Table1[[#This Row],[p-value]]&lt;0.1, "*","")</f>
        <v/>
      </c>
      <c r="D8" t="str">
        <f>IF(Table1[[#This Row],[p-value]]&lt;0.05, "**","")</f>
        <v/>
      </c>
      <c r="E8" t="s">
        <v>5</v>
      </c>
      <c r="F8" t="s">
        <v>13</v>
      </c>
    </row>
    <row r="9" spans="1:6" x14ac:dyDescent="0.2">
      <c r="A9" t="s">
        <v>7</v>
      </c>
      <c r="B9">
        <v>0.86</v>
      </c>
      <c r="C9" t="str">
        <f>IF(Table1[[#This Row],[p-value]]&lt;0.1, "*","")</f>
        <v/>
      </c>
      <c r="D9" t="str">
        <f>IF(Table1[[#This Row],[p-value]]&lt;0.05, "**","")</f>
        <v/>
      </c>
      <c r="E9" t="s">
        <v>8</v>
      </c>
      <c r="F9" t="s">
        <v>13</v>
      </c>
    </row>
    <row r="10" spans="1:6" x14ac:dyDescent="0.2">
      <c r="A10" t="s">
        <v>9</v>
      </c>
      <c r="B10">
        <v>2.7E-2</v>
      </c>
      <c r="C10" t="str">
        <f>IF(Table1[[#This Row],[p-value]]&lt;0.1, "*","")</f>
        <v>*</v>
      </c>
      <c r="D10" t="str">
        <f>IF(Table1[[#This Row],[p-value]]&lt;0.05, "**","")</f>
        <v>**</v>
      </c>
      <c r="E10" t="s">
        <v>8</v>
      </c>
      <c r="F10" t="s">
        <v>13</v>
      </c>
    </row>
    <row r="11" spans="1:6" x14ac:dyDescent="0.2">
      <c r="A11" t="s">
        <v>10</v>
      </c>
      <c r="B11">
        <v>0.622</v>
      </c>
      <c r="C11" t="str">
        <f>IF(Table1[[#This Row],[p-value]]&lt;0.1, "*","")</f>
        <v/>
      </c>
      <c r="D11" t="str">
        <f>IF(Table1[[#This Row],[p-value]]&lt;0.05, "**","")</f>
        <v/>
      </c>
      <c r="E11" t="s">
        <v>5</v>
      </c>
      <c r="F11" t="s">
        <v>13</v>
      </c>
    </row>
    <row r="12" spans="1:6" x14ac:dyDescent="0.2">
      <c r="A12" t="s">
        <v>11</v>
      </c>
      <c r="B12">
        <v>9.5000000000000001E-2</v>
      </c>
      <c r="C12" t="str">
        <f>IF(Table1[[#This Row],[p-value]]&lt;0.1, "*","")</f>
        <v>*</v>
      </c>
      <c r="D12" t="str">
        <f>IF(Table1[[#This Row],[p-value]]&lt;0.05, "**","")</f>
        <v/>
      </c>
      <c r="E12" t="s">
        <v>8</v>
      </c>
      <c r="F12" t="s">
        <v>13</v>
      </c>
    </row>
    <row r="13" spans="1:6" x14ac:dyDescent="0.2">
      <c r="A13" t="s">
        <v>12</v>
      </c>
      <c r="B13">
        <v>1.4999999999999999E-2</v>
      </c>
      <c r="C13" t="str">
        <f>IF(Table1[[#This Row],[p-value]]&lt;0.1, "*","")</f>
        <v>*</v>
      </c>
      <c r="D13" t="str">
        <f>IF(Table1[[#This Row],[p-value]]&lt;0.05, "**","")</f>
        <v>**</v>
      </c>
      <c r="E13" t="s">
        <v>5</v>
      </c>
      <c r="F13" t="s">
        <v>13</v>
      </c>
    </row>
    <row r="14" spans="1:6" x14ac:dyDescent="0.2">
      <c r="A14" t="s">
        <v>4</v>
      </c>
      <c r="B14">
        <v>1</v>
      </c>
      <c r="C14" t="str">
        <f>IF(Table1[[#This Row],[p-value]]&lt;0.1, "*","")</f>
        <v/>
      </c>
      <c r="D14" t="str">
        <f>IF(Table1[[#This Row],[p-value]]&lt;0.05, "**","")</f>
        <v/>
      </c>
      <c r="E14" t="s">
        <v>5</v>
      </c>
      <c r="F14" t="s">
        <v>14</v>
      </c>
    </row>
    <row r="15" spans="1:6" x14ac:dyDescent="0.2">
      <c r="A15" t="s">
        <v>7</v>
      </c>
      <c r="B15">
        <v>9.0999999999999998E-2</v>
      </c>
      <c r="C15" t="str">
        <f>IF(Table1[[#This Row],[p-value]]&lt;0.1, "*","")</f>
        <v>*</v>
      </c>
      <c r="D15" t="str">
        <f>IF(Table1[[#This Row],[p-value]]&lt;0.05, "**","")</f>
        <v/>
      </c>
      <c r="E15" t="s">
        <v>5</v>
      </c>
      <c r="F15" t="s">
        <v>14</v>
      </c>
    </row>
    <row r="16" spans="1:6" x14ac:dyDescent="0.2">
      <c r="A16" t="s">
        <v>9</v>
      </c>
      <c r="B16">
        <v>1</v>
      </c>
      <c r="C16" t="str">
        <f>IF(Table1[[#This Row],[p-value]]&lt;0.1, "*","")</f>
        <v/>
      </c>
      <c r="D16" t="str">
        <f>IF(Table1[[#This Row],[p-value]]&lt;0.05, "**","")</f>
        <v/>
      </c>
      <c r="E16" t="s">
        <v>5</v>
      </c>
      <c r="F16" t="s">
        <v>14</v>
      </c>
    </row>
    <row r="17" spans="1:6" x14ac:dyDescent="0.2">
      <c r="A17" t="s">
        <v>10</v>
      </c>
      <c r="B17">
        <v>1</v>
      </c>
      <c r="C17" t="str">
        <f>IF(Table1[[#This Row],[p-value]]&lt;0.1, "*","")</f>
        <v/>
      </c>
      <c r="D17" t="str">
        <f>IF(Table1[[#This Row],[p-value]]&lt;0.05, "**","")</f>
        <v/>
      </c>
      <c r="E17" t="s">
        <v>5</v>
      </c>
      <c r="F17" t="s">
        <v>14</v>
      </c>
    </row>
    <row r="18" spans="1:6" x14ac:dyDescent="0.2">
      <c r="A18" t="s">
        <v>11</v>
      </c>
      <c r="B18">
        <v>0.159</v>
      </c>
      <c r="C18" t="str">
        <f>IF(Table1[[#This Row],[p-value]]&lt;0.1, "*","")</f>
        <v/>
      </c>
      <c r="D18" t="str">
        <f>IF(Table1[[#This Row],[p-value]]&lt;0.05, "**","")</f>
        <v/>
      </c>
      <c r="E18" t="s">
        <v>5</v>
      </c>
      <c r="F18" t="s">
        <v>14</v>
      </c>
    </row>
    <row r="19" spans="1:6" x14ac:dyDescent="0.2">
      <c r="A19" t="s">
        <v>12</v>
      </c>
      <c r="B19">
        <v>0.46</v>
      </c>
      <c r="C19" t="str">
        <f>IF(Table1[[#This Row],[p-value]]&lt;0.1, "*","")</f>
        <v/>
      </c>
      <c r="D19" t="str">
        <f>IF(Table1[[#This Row],[p-value]]&lt;0.05, "**","")</f>
        <v/>
      </c>
      <c r="E19" t="s">
        <v>5</v>
      </c>
      <c r="F19" t="s">
        <v>14</v>
      </c>
    </row>
    <row r="20" spans="1:6" x14ac:dyDescent="0.2">
      <c r="A20" t="s">
        <v>4</v>
      </c>
      <c r="B20">
        <v>1</v>
      </c>
      <c r="C20" t="str">
        <f>IF(Table1[[#This Row],[p-value]]&lt;0.1, "*","")</f>
        <v/>
      </c>
      <c r="D20" t="str">
        <f>IF(Table1[[#This Row],[p-value]]&lt;0.05, "**","")</f>
        <v/>
      </c>
      <c r="E20" t="s">
        <v>5</v>
      </c>
      <c r="F20" t="s">
        <v>15</v>
      </c>
    </row>
    <row r="21" spans="1:6" x14ac:dyDescent="0.2">
      <c r="A21" t="s">
        <v>7</v>
      </c>
      <c r="B21">
        <v>0.34300000000000003</v>
      </c>
      <c r="C21" t="str">
        <f>IF(Table1[[#This Row],[p-value]]&lt;0.1, "*","")</f>
        <v/>
      </c>
      <c r="D21" t="str">
        <f>IF(Table1[[#This Row],[p-value]]&lt;0.05, "**","")</f>
        <v/>
      </c>
      <c r="E21" t="s">
        <v>8</v>
      </c>
      <c r="F21" t="s">
        <v>15</v>
      </c>
    </row>
    <row r="22" spans="1:6" x14ac:dyDescent="0.2">
      <c r="A22" t="s">
        <v>9</v>
      </c>
      <c r="B22">
        <v>0</v>
      </c>
      <c r="C22" t="str">
        <f>IF(Table1[[#This Row],[p-value]]&lt;0.1, "*","")</f>
        <v>*</v>
      </c>
      <c r="D22" t="str">
        <f>IF(Table1[[#This Row],[p-value]]&lt;0.05, "**","")</f>
        <v>**</v>
      </c>
      <c r="E22" t="s">
        <v>8</v>
      </c>
      <c r="F22" t="s">
        <v>15</v>
      </c>
    </row>
    <row r="23" spans="1:6" x14ac:dyDescent="0.2">
      <c r="A23" t="s">
        <v>10</v>
      </c>
      <c r="B23">
        <v>1</v>
      </c>
      <c r="C23" t="str">
        <f>IF(Table1[[#This Row],[p-value]]&lt;0.1, "*","")</f>
        <v/>
      </c>
      <c r="D23" t="str">
        <f>IF(Table1[[#This Row],[p-value]]&lt;0.05, "**","")</f>
        <v/>
      </c>
      <c r="E23" t="s">
        <v>5</v>
      </c>
      <c r="F23" t="s">
        <v>15</v>
      </c>
    </row>
    <row r="24" spans="1:6" x14ac:dyDescent="0.2">
      <c r="A24" t="s">
        <v>11</v>
      </c>
      <c r="B24">
        <v>8.4000000000000005E-2</v>
      </c>
      <c r="C24" t="str">
        <f>IF(Table1[[#This Row],[p-value]]&lt;0.1, "*","")</f>
        <v>*</v>
      </c>
      <c r="D24" t="str">
        <f>IF(Table1[[#This Row],[p-value]]&lt;0.05, "**","")</f>
        <v/>
      </c>
      <c r="E24" t="s">
        <v>8</v>
      </c>
      <c r="F24" t="s">
        <v>15</v>
      </c>
    </row>
    <row r="25" spans="1:6" x14ac:dyDescent="0.2">
      <c r="A25" t="s">
        <v>12</v>
      </c>
      <c r="B25">
        <v>0.40200000000000002</v>
      </c>
      <c r="C25" t="str">
        <f>IF(Table1[[#This Row],[p-value]]&lt;0.1, "*","")</f>
        <v/>
      </c>
      <c r="D25" t="str">
        <f>IF(Table1[[#This Row],[p-value]]&lt;0.05, "**","")</f>
        <v/>
      </c>
      <c r="E25" t="s">
        <v>5</v>
      </c>
      <c r="F25" t="s">
        <v>15</v>
      </c>
    </row>
    <row r="26" spans="1:6" x14ac:dyDescent="0.2">
      <c r="A26" t="s">
        <v>4</v>
      </c>
      <c r="B26">
        <v>0.30199999999999999</v>
      </c>
      <c r="C26" t="str">
        <f>IF(Table1[[#This Row],[p-value]]&lt;0.1, "*","")</f>
        <v/>
      </c>
      <c r="D26" t="str">
        <f>IF(Table1[[#This Row],[p-value]]&lt;0.05, "**","")</f>
        <v/>
      </c>
      <c r="E26" t="s">
        <v>5</v>
      </c>
      <c r="F26" t="s">
        <v>16</v>
      </c>
    </row>
    <row r="27" spans="1:6" x14ac:dyDescent="0.2">
      <c r="A27" t="s">
        <v>7</v>
      </c>
      <c r="B27">
        <v>4.0000000000000001E-3</v>
      </c>
      <c r="C27" t="str">
        <f>IF(Table1[[#This Row],[p-value]]&lt;0.1, "*","")</f>
        <v>*</v>
      </c>
      <c r="D27" t="str">
        <f>IF(Table1[[#This Row],[p-value]]&lt;0.05, "**","")</f>
        <v>**</v>
      </c>
      <c r="E27" t="s">
        <v>8</v>
      </c>
      <c r="F27" t="s">
        <v>16</v>
      </c>
    </row>
    <row r="28" spans="1:6" x14ac:dyDescent="0.2">
      <c r="A28" t="s">
        <v>9</v>
      </c>
      <c r="B28">
        <v>2.9000000000000001E-2</v>
      </c>
      <c r="C28" t="str">
        <f>IF(Table1[[#This Row],[p-value]]&lt;0.1, "*","")</f>
        <v>*</v>
      </c>
      <c r="D28" t="str">
        <f>IF(Table1[[#This Row],[p-value]]&lt;0.05, "**","")</f>
        <v>**</v>
      </c>
      <c r="E28" t="s">
        <v>8</v>
      </c>
      <c r="F28" t="s">
        <v>16</v>
      </c>
    </row>
    <row r="29" spans="1:6" x14ac:dyDescent="0.2">
      <c r="A29" t="s">
        <v>10</v>
      </c>
      <c r="B29">
        <v>1</v>
      </c>
      <c r="C29" t="str">
        <f>IF(Table1[[#This Row],[p-value]]&lt;0.1, "*","")</f>
        <v/>
      </c>
      <c r="D29" t="str">
        <f>IF(Table1[[#This Row],[p-value]]&lt;0.05, "**","")</f>
        <v/>
      </c>
      <c r="E29" t="s">
        <v>5</v>
      </c>
      <c r="F29" t="s">
        <v>16</v>
      </c>
    </row>
    <row r="30" spans="1:6" x14ac:dyDescent="0.2">
      <c r="A30" t="s">
        <v>11</v>
      </c>
      <c r="B30">
        <v>0.17399999999999999</v>
      </c>
      <c r="C30" t="str">
        <f>IF(Table1[[#This Row],[p-value]]&lt;0.1, "*","")</f>
        <v/>
      </c>
      <c r="D30" t="str">
        <f>IF(Table1[[#This Row],[p-value]]&lt;0.05, "**","")</f>
        <v/>
      </c>
      <c r="E30" t="s">
        <v>8</v>
      </c>
      <c r="F30" t="s">
        <v>16</v>
      </c>
    </row>
    <row r="31" spans="1:6" x14ac:dyDescent="0.2">
      <c r="A31" t="s">
        <v>12</v>
      </c>
      <c r="B31">
        <v>0.56899999999999995</v>
      </c>
      <c r="C31" t="str">
        <f>IF(Table1[[#This Row],[p-value]]&lt;0.1, "*","")</f>
        <v/>
      </c>
      <c r="D31" t="str">
        <f>IF(Table1[[#This Row],[p-value]]&lt;0.05, "**","")</f>
        <v/>
      </c>
      <c r="E31" t="s">
        <v>8</v>
      </c>
      <c r="F31" t="s">
        <v>16</v>
      </c>
    </row>
    <row r="32" spans="1:6" x14ac:dyDescent="0.2">
      <c r="A32" t="s">
        <v>4</v>
      </c>
      <c r="B32">
        <v>0.17100000000000001</v>
      </c>
      <c r="C32" t="str">
        <f>IF(Table1[[#This Row],[p-value]]&lt;0.1, "*","")</f>
        <v/>
      </c>
      <c r="D32" t="str">
        <f>IF(Table1[[#This Row],[p-value]]&lt;0.05, "**","")</f>
        <v/>
      </c>
      <c r="E32" t="s">
        <v>5</v>
      </c>
      <c r="F32" t="s">
        <v>17</v>
      </c>
    </row>
    <row r="33" spans="1:6" x14ac:dyDescent="0.2">
      <c r="A33" t="s">
        <v>7</v>
      </c>
      <c r="B33">
        <v>0.65300000000000002</v>
      </c>
      <c r="C33" t="str">
        <f>IF(Table1[[#This Row],[p-value]]&lt;0.1, "*","")</f>
        <v/>
      </c>
      <c r="D33" t="str">
        <f>IF(Table1[[#This Row],[p-value]]&lt;0.05, "**","")</f>
        <v/>
      </c>
      <c r="E33" t="s">
        <v>8</v>
      </c>
      <c r="F33" t="s">
        <v>17</v>
      </c>
    </row>
    <row r="34" spans="1:6" x14ac:dyDescent="0.2">
      <c r="A34" t="s">
        <v>9</v>
      </c>
      <c r="B34">
        <v>0.72899999999999998</v>
      </c>
      <c r="C34" t="str">
        <f>IF(Table1[[#This Row],[p-value]]&lt;0.1, "*","")</f>
        <v/>
      </c>
      <c r="D34" t="str">
        <f>IF(Table1[[#This Row],[p-value]]&lt;0.05, "**","")</f>
        <v/>
      </c>
      <c r="E34" t="s">
        <v>5</v>
      </c>
      <c r="F34" t="s">
        <v>17</v>
      </c>
    </row>
    <row r="35" spans="1:6" x14ac:dyDescent="0.2">
      <c r="A35" t="s">
        <v>10</v>
      </c>
      <c r="B35">
        <v>0.33200000000000002</v>
      </c>
      <c r="C35" t="str">
        <f>IF(Table1[[#This Row],[p-value]]&lt;0.1, "*","")</f>
        <v/>
      </c>
      <c r="D35" t="str">
        <f>IF(Table1[[#This Row],[p-value]]&lt;0.05, "**","")</f>
        <v/>
      </c>
      <c r="E35" t="s">
        <v>5</v>
      </c>
      <c r="F35" t="s">
        <v>17</v>
      </c>
    </row>
    <row r="36" spans="1:6" x14ac:dyDescent="0.2">
      <c r="A36" t="s">
        <v>11</v>
      </c>
      <c r="B36">
        <v>0.68400000000000005</v>
      </c>
      <c r="C36" t="str">
        <f>IF(Table1[[#This Row],[p-value]]&lt;0.1, "*","")</f>
        <v/>
      </c>
      <c r="D36" t="str">
        <f>IF(Table1[[#This Row],[p-value]]&lt;0.05, "**","")</f>
        <v/>
      </c>
      <c r="E36" t="s">
        <v>8</v>
      </c>
      <c r="F36" t="s">
        <v>17</v>
      </c>
    </row>
    <row r="37" spans="1:6" x14ac:dyDescent="0.2">
      <c r="A37" t="s">
        <v>12</v>
      </c>
      <c r="B37">
        <v>0.64100000000000001</v>
      </c>
      <c r="C37" t="str">
        <f>IF(Table1[[#This Row],[p-value]]&lt;0.1, "*","")</f>
        <v/>
      </c>
      <c r="D37" t="str">
        <f>IF(Table1[[#This Row],[p-value]]&lt;0.05, "**","")</f>
        <v/>
      </c>
      <c r="E37" t="s">
        <v>5</v>
      </c>
      <c r="F37" t="s">
        <v>17</v>
      </c>
    </row>
    <row r="38" spans="1:6" x14ac:dyDescent="0.2">
      <c r="A38" t="s">
        <v>4</v>
      </c>
      <c r="B38">
        <v>1</v>
      </c>
      <c r="C38" t="str">
        <f>IF(Table1[[#This Row],[p-value]]&lt;0.1, "*","")</f>
        <v/>
      </c>
      <c r="D38" t="str">
        <f>IF(Table1[[#This Row],[p-value]]&lt;0.05, "**","")</f>
        <v/>
      </c>
      <c r="E38" t="s">
        <v>5</v>
      </c>
      <c r="F38" t="s">
        <v>18</v>
      </c>
    </row>
    <row r="39" spans="1:6" x14ac:dyDescent="0.2">
      <c r="A39" t="s">
        <v>7</v>
      </c>
      <c r="B39">
        <v>0.59299999999999997</v>
      </c>
      <c r="C39" t="str">
        <f>IF(Table1[[#This Row],[p-value]]&lt;0.1, "*","")</f>
        <v/>
      </c>
      <c r="D39" t="str">
        <f>IF(Table1[[#This Row],[p-value]]&lt;0.05, "**","")</f>
        <v/>
      </c>
      <c r="E39" t="s">
        <v>8</v>
      </c>
      <c r="F39" t="s">
        <v>18</v>
      </c>
    </row>
    <row r="40" spans="1:6" x14ac:dyDescent="0.2">
      <c r="A40" t="s">
        <v>9</v>
      </c>
      <c r="B40">
        <v>1</v>
      </c>
      <c r="C40" t="str">
        <f>IF(Table1[[#This Row],[p-value]]&lt;0.1, "*","")</f>
        <v/>
      </c>
      <c r="D40" t="str">
        <f>IF(Table1[[#This Row],[p-value]]&lt;0.05, "**","")</f>
        <v/>
      </c>
      <c r="E40" t="s">
        <v>5</v>
      </c>
      <c r="F40" t="s">
        <v>18</v>
      </c>
    </row>
    <row r="41" spans="1:6" x14ac:dyDescent="0.2">
      <c r="A41" t="s">
        <v>10</v>
      </c>
      <c r="B41">
        <v>1</v>
      </c>
      <c r="C41" t="str">
        <f>IF(Table1[[#This Row],[p-value]]&lt;0.1, "*","")</f>
        <v/>
      </c>
      <c r="D41" t="str">
        <f>IF(Table1[[#This Row],[p-value]]&lt;0.05, "**","")</f>
        <v/>
      </c>
      <c r="E41" t="s">
        <v>5</v>
      </c>
      <c r="F41" t="s">
        <v>18</v>
      </c>
    </row>
    <row r="42" spans="1:6" x14ac:dyDescent="0.2">
      <c r="A42" t="s">
        <v>11</v>
      </c>
      <c r="B42">
        <v>1</v>
      </c>
      <c r="C42" t="str">
        <f>IF(Table1[[#This Row],[p-value]]&lt;0.1, "*","")</f>
        <v/>
      </c>
      <c r="D42" t="str">
        <f>IF(Table1[[#This Row],[p-value]]&lt;0.05, "**","")</f>
        <v/>
      </c>
      <c r="E42" t="s">
        <v>8</v>
      </c>
      <c r="F42" t="s">
        <v>18</v>
      </c>
    </row>
    <row r="43" spans="1:6" x14ac:dyDescent="0.2">
      <c r="A43" t="s">
        <v>12</v>
      </c>
      <c r="B43">
        <v>1</v>
      </c>
      <c r="C43" t="str">
        <f>IF(Table1[[#This Row],[p-value]]&lt;0.1, "*","")</f>
        <v/>
      </c>
      <c r="D43" t="str">
        <f>IF(Table1[[#This Row],[p-value]]&lt;0.05, "**","")</f>
        <v/>
      </c>
      <c r="E43" t="s">
        <v>5</v>
      </c>
      <c r="F43" t="s">
        <v>18</v>
      </c>
    </row>
    <row r="44" spans="1:6" x14ac:dyDescent="0.2">
      <c r="A44" t="s">
        <v>4</v>
      </c>
      <c r="B44">
        <v>1</v>
      </c>
      <c r="C44" t="str">
        <f>IF(Table1[[#This Row],[p-value]]&lt;0.1, "*","")</f>
        <v/>
      </c>
      <c r="D44" t="str">
        <f>IF(Table1[[#This Row],[p-value]]&lt;0.05, "**","")</f>
        <v/>
      </c>
      <c r="E44" t="s">
        <v>5</v>
      </c>
      <c r="F44" t="s">
        <v>19</v>
      </c>
    </row>
    <row r="45" spans="1:6" x14ac:dyDescent="0.2">
      <c r="A45" t="s">
        <v>7</v>
      </c>
      <c r="B45">
        <v>0.53100000000000003</v>
      </c>
      <c r="C45" t="str">
        <f>IF(Table1[[#This Row],[p-value]]&lt;0.1, "*","")</f>
        <v/>
      </c>
      <c r="D45" t="str">
        <f>IF(Table1[[#This Row],[p-value]]&lt;0.05, "**","")</f>
        <v/>
      </c>
      <c r="E45" t="s">
        <v>8</v>
      </c>
      <c r="F45" t="s">
        <v>19</v>
      </c>
    </row>
    <row r="46" spans="1:6" x14ac:dyDescent="0.2">
      <c r="A46" t="s">
        <v>9</v>
      </c>
      <c r="B46">
        <v>1</v>
      </c>
      <c r="C46" t="str">
        <f>IF(Table1[[#This Row],[p-value]]&lt;0.1, "*","")</f>
        <v/>
      </c>
      <c r="D46" t="str">
        <f>IF(Table1[[#This Row],[p-value]]&lt;0.05, "**","")</f>
        <v/>
      </c>
      <c r="E46" t="s">
        <v>5</v>
      </c>
      <c r="F46" t="s">
        <v>19</v>
      </c>
    </row>
    <row r="47" spans="1:6" x14ac:dyDescent="0.2">
      <c r="A47" t="s">
        <v>10</v>
      </c>
      <c r="B47">
        <v>1</v>
      </c>
      <c r="C47" t="str">
        <f>IF(Table1[[#This Row],[p-value]]&lt;0.1, "*","")</f>
        <v/>
      </c>
      <c r="D47" t="str">
        <f>IF(Table1[[#This Row],[p-value]]&lt;0.05, "**","")</f>
        <v/>
      </c>
      <c r="E47" t="s">
        <v>5</v>
      </c>
      <c r="F47" t="s">
        <v>19</v>
      </c>
    </row>
    <row r="48" spans="1:6" x14ac:dyDescent="0.2">
      <c r="A48" t="s">
        <v>11</v>
      </c>
      <c r="B48">
        <v>0.92500000000000004</v>
      </c>
      <c r="C48" t="str">
        <f>IF(Table1[[#This Row],[p-value]]&lt;0.1, "*","")</f>
        <v/>
      </c>
      <c r="D48" t="str">
        <f>IF(Table1[[#This Row],[p-value]]&lt;0.05, "**","")</f>
        <v/>
      </c>
      <c r="E48" t="s">
        <v>8</v>
      </c>
      <c r="F48" t="s">
        <v>19</v>
      </c>
    </row>
    <row r="49" spans="1:6" x14ac:dyDescent="0.2">
      <c r="A49" t="s">
        <v>12</v>
      </c>
      <c r="B49">
        <v>0.60699999999999998</v>
      </c>
      <c r="C49" t="str">
        <f>IF(Table1[[#This Row],[p-value]]&lt;0.1, "*","")</f>
        <v/>
      </c>
      <c r="D49" t="str">
        <f>IF(Table1[[#This Row],[p-value]]&lt;0.05, "**","")</f>
        <v/>
      </c>
      <c r="E49" t="s">
        <v>5</v>
      </c>
      <c r="F49" t="s">
        <v>19</v>
      </c>
    </row>
    <row r="50" spans="1:6" x14ac:dyDescent="0.2">
      <c r="A50" t="s">
        <v>4</v>
      </c>
      <c r="B50">
        <v>0.19800000000000001</v>
      </c>
      <c r="C50" t="str">
        <f>IF(Table1[[#This Row],[p-value]]&lt;0.1, "*","")</f>
        <v/>
      </c>
      <c r="D50" t="str">
        <f>IF(Table1[[#This Row],[p-value]]&lt;0.05, "**","")</f>
        <v/>
      </c>
      <c r="E50" t="s">
        <v>5</v>
      </c>
      <c r="F50" t="s">
        <v>20</v>
      </c>
    </row>
    <row r="51" spans="1:6" x14ac:dyDescent="0.2">
      <c r="A51" t="s">
        <v>7</v>
      </c>
      <c r="B51">
        <v>3.0000000000000001E-3</v>
      </c>
      <c r="C51" t="str">
        <f>IF(Table1[[#This Row],[p-value]]&lt;0.1, "*","")</f>
        <v>*</v>
      </c>
      <c r="D51" t="str">
        <f>IF(Table1[[#This Row],[p-value]]&lt;0.05, "**","")</f>
        <v>**</v>
      </c>
      <c r="E51" t="s">
        <v>8</v>
      </c>
      <c r="F51" t="s">
        <v>20</v>
      </c>
    </row>
    <row r="52" spans="1:6" x14ac:dyDescent="0.2">
      <c r="A52" t="s">
        <v>9</v>
      </c>
      <c r="B52">
        <v>0.121</v>
      </c>
      <c r="C52" t="str">
        <f>IF(Table1[[#This Row],[p-value]]&lt;0.1, "*","")</f>
        <v/>
      </c>
      <c r="D52" t="str">
        <f>IF(Table1[[#This Row],[p-value]]&lt;0.05, "**","")</f>
        <v/>
      </c>
      <c r="E52" t="s">
        <v>5</v>
      </c>
      <c r="F52" t="s">
        <v>20</v>
      </c>
    </row>
    <row r="53" spans="1:6" x14ac:dyDescent="0.2">
      <c r="A53" t="s">
        <v>10</v>
      </c>
      <c r="B53">
        <v>0.58699999999999997</v>
      </c>
      <c r="C53" t="str">
        <f>IF(Table1[[#This Row],[p-value]]&lt;0.1, "*","")</f>
        <v/>
      </c>
      <c r="D53" t="str">
        <f>IF(Table1[[#This Row],[p-value]]&lt;0.05, "**","")</f>
        <v/>
      </c>
      <c r="E53" t="s">
        <v>5</v>
      </c>
      <c r="F53" t="s">
        <v>20</v>
      </c>
    </row>
    <row r="54" spans="1:6" x14ac:dyDescent="0.2">
      <c r="A54" t="s">
        <v>11</v>
      </c>
      <c r="B54">
        <v>4.1000000000000002E-2</v>
      </c>
      <c r="C54" t="str">
        <f>IF(Table1[[#This Row],[p-value]]&lt;0.1, "*","")</f>
        <v>*</v>
      </c>
      <c r="D54" t="str">
        <f>IF(Table1[[#This Row],[p-value]]&lt;0.05, "**","")</f>
        <v>**</v>
      </c>
      <c r="E54" t="s">
        <v>8</v>
      </c>
      <c r="F54" t="s">
        <v>20</v>
      </c>
    </row>
    <row r="55" spans="1:6" x14ac:dyDescent="0.2">
      <c r="A55" t="s">
        <v>12</v>
      </c>
      <c r="B55">
        <v>1</v>
      </c>
      <c r="C55" t="str">
        <f>IF(Table1[[#This Row],[p-value]]&lt;0.1, "*","")</f>
        <v/>
      </c>
      <c r="D55" t="str">
        <f>IF(Table1[[#This Row],[p-value]]&lt;0.05, "**","")</f>
        <v/>
      </c>
      <c r="E55" t="s">
        <v>5</v>
      </c>
      <c r="F55" t="s">
        <v>20</v>
      </c>
    </row>
    <row r="56" spans="1:6" x14ac:dyDescent="0.2">
      <c r="A56" t="s">
        <v>4</v>
      </c>
      <c r="B56">
        <v>0.20300000000000001</v>
      </c>
      <c r="C56" t="str">
        <f>IF(Table1[[#This Row],[p-value]]&lt;0.1, "*","")</f>
        <v/>
      </c>
      <c r="D56" t="str">
        <f>IF(Table1[[#This Row],[p-value]]&lt;0.05, "**","")</f>
        <v/>
      </c>
      <c r="E56" t="s">
        <v>5</v>
      </c>
      <c r="F56" t="s">
        <v>21</v>
      </c>
    </row>
    <row r="57" spans="1:6" x14ac:dyDescent="0.2">
      <c r="A57" t="s">
        <v>7</v>
      </c>
      <c r="B57">
        <v>0.09</v>
      </c>
      <c r="C57" t="str">
        <f>IF(Table1[[#This Row],[p-value]]&lt;0.1, "*","")</f>
        <v>*</v>
      </c>
      <c r="D57" t="str">
        <f>IF(Table1[[#This Row],[p-value]]&lt;0.05, "**","")</f>
        <v/>
      </c>
      <c r="E57" t="s">
        <v>8</v>
      </c>
      <c r="F57" t="s">
        <v>21</v>
      </c>
    </row>
    <row r="58" spans="1:6" x14ac:dyDescent="0.2">
      <c r="A58" t="s">
        <v>9</v>
      </c>
      <c r="B58">
        <v>0.92700000000000005</v>
      </c>
      <c r="C58" t="str">
        <f>IF(Table1[[#This Row],[p-value]]&lt;0.1, "*","")</f>
        <v/>
      </c>
      <c r="D58" t="str">
        <f>IF(Table1[[#This Row],[p-value]]&lt;0.05, "**","")</f>
        <v/>
      </c>
      <c r="E58" t="s">
        <v>8</v>
      </c>
      <c r="F58" t="s">
        <v>21</v>
      </c>
    </row>
    <row r="59" spans="1:6" x14ac:dyDescent="0.2">
      <c r="A59" t="s">
        <v>10</v>
      </c>
      <c r="B59">
        <v>1</v>
      </c>
      <c r="C59" t="str">
        <f>IF(Table1[[#This Row],[p-value]]&lt;0.1, "*","")</f>
        <v/>
      </c>
      <c r="D59" t="str">
        <f>IF(Table1[[#This Row],[p-value]]&lt;0.05, "**","")</f>
        <v/>
      </c>
      <c r="E59" t="s">
        <v>5</v>
      </c>
      <c r="F59" t="s">
        <v>21</v>
      </c>
    </row>
    <row r="60" spans="1:6" x14ac:dyDescent="0.2">
      <c r="A60" t="s">
        <v>11</v>
      </c>
      <c r="B60">
        <v>5.8000000000000003E-2</v>
      </c>
      <c r="C60" t="str">
        <f>IF(Table1[[#This Row],[p-value]]&lt;0.1, "*","")</f>
        <v>*</v>
      </c>
      <c r="D60" t="str">
        <f>IF(Table1[[#This Row],[p-value]]&lt;0.05, "**","")</f>
        <v/>
      </c>
      <c r="E60" t="s">
        <v>8</v>
      </c>
      <c r="F60" t="s">
        <v>21</v>
      </c>
    </row>
    <row r="61" spans="1:6" x14ac:dyDescent="0.2">
      <c r="A61" t="s">
        <v>12</v>
      </c>
      <c r="B61">
        <v>0.755</v>
      </c>
      <c r="C61" t="str">
        <f>IF(Table1[[#This Row],[p-value]]&lt;0.1, "*","")</f>
        <v/>
      </c>
      <c r="D61" t="str">
        <f>IF(Table1[[#This Row],[p-value]]&lt;0.05, "**","")</f>
        <v/>
      </c>
      <c r="E61" t="s">
        <v>5</v>
      </c>
      <c r="F61" t="s">
        <v>21</v>
      </c>
    </row>
    <row r="62" spans="1:6" x14ac:dyDescent="0.2">
      <c r="A62" t="s">
        <v>4</v>
      </c>
      <c r="B62">
        <v>1</v>
      </c>
      <c r="C62" t="str">
        <f>IF(Table1[[#This Row],[p-value]]&lt;0.1, "*","")</f>
        <v/>
      </c>
      <c r="D62" t="str">
        <f>IF(Table1[[#This Row],[p-value]]&lt;0.05, "**","")</f>
        <v/>
      </c>
      <c r="E62" t="s">
        <v>5</v>
      </c>
      <c r="F62" t="s">
        <v>22</v>
      </c>
    </row>
    <row r="63" spans="1:6" x14ac:dyDescent="0.2">
      <c r="A63" t="s">
        <v>7</v>
      </c>
      <c r="B63">
        <v>0.13600000000000001</v>
      </c>
      <c r="C63" t="str">
        <f>IF(Table1[[#This Row],[p-value]]&lt;0.1, "*","")</f>
        <v/>
      </c>
      <c r="D63" t="str">
        <f>IF(Table1[[#This Row],[p-value]]&lt;0.05, "**","")</f>
        <v/>
      </c>
      <c r="E63" t="s">
        <v>5</v>
      </c>
      <c r="F63" t="s">
        <v>22</v>
      </c>
    </row>
    <row r="64" spans="1:6" x14ac:dyDescent="0.2">
      <c r="A64" t="s">
        <v>9</v>
      </c>
      <c r="B64">
        <v>0.36899999999999999</v>
      </c>
      <c r="C64" t="str">
        <f>IF(Table1[[#This Row],[p-value]]&lt;0.1, "*","")</f>
        <v/>
      </c>
      <c r="D64" t="str">
        <f>IF(Table1[[#This Row],[p-value]]&lt;0.05, "**","")</f>
        <v/>
      </c>
      <c r="E64" t="s">
        <v>5</v>
      </c>
      <c r="F64" t="s">
        <v>22</v>
      </c>
    </row>
    <row r="65" spans="1:6" x14ac:dyDescent="0.2">
      <c r="A65" t="s">
        <v>10</v>
      </c>
      <c r="B65">
        <v>1</v>
      </c>
      <c r="C65" t="str">
        <f>IF(Table1[[#This Row],[p-value]]&lt;0.1, "*","")</f>
        <v/>
      </c>
      <c r="D65" t="str">
        <f>IF(Table1[[#This Row],[p-value]]&lt;0.05, "**","")</f>
        <v/>
      </c>
      <c r="E65" t="s">
        <v>5</v>
      </c>
      <c r="F65" t="s">
        <v>22</v>
      </c>
    </row>
    <row r="66" spans="1:6" x14ac:dyDescent="0.2">
      <c r="A66" t="s">
        <v>11</v>
      </c>
      <c r="B66">
        <v>1.2E-2</v>
      </c>
      <c r="C66" t="str">
        <f>IF(Table1[[#This Row],[p-value]]&lt;0.1, "*","")</f>
        <v>*</v>
      </c>
      <c r="D66" t="str">
        <f>IF(Table1[[#This Row],[p-value]]&lt;0.05, "**","")</f>
        <v>**</v>
      </c>
      <c r="E66" t="s">
        <v>5</v>
      </c>
      <c r="F66" t="s">
        <v>22</v>
      </c>
    </row>
    <row r="67" spans="1:6" x14ac:dyDescent="0.2">
      <c r="A67" t="s">
        <v>12</v>
      </c>
      <c r="B67">
        <v>0.56200000000000006</v>
      </c>
      <c r="C67" t="str">
        <f>IF(Table1[[#This Row],[p-value]]&lt;0.1, "*","")</f>
        <v/>
      </c>
      <c r="D67" t="str">
        <f>IF(Table1[[#This Row],[p-value]]&lt;0.05, "**","")</f>
        <v/>
      </c>
      <c r="E67" t="s">
        <v>5</v>
      </c>
      <c r="F67" t="s">
        <v>22</v>
      </c>
    </row>
    <row r="68" spans="1:6" x14ac:dyDescent="0.2">
      <c r="A68" t="s">
        <v>4</v>
      </c>
      <c r="B68">
        <v>0.47199999999999998</v>
      </c>
      <c r="C68" t="str">
        <f>IF(Table1[[#This Row],[p-value]]&lt;0.1, "*","")</f>
        <v/>
      </c>
      <c r="D68" t="str">
        <f>IF(Table1[[#This Row],[p-value]]&lt;0.05, "**","")</f>
        <v/>
      </c>
      <c r="E68" t="s">
        <v>5</v>
      </c>
      <c r="F68" t="s">
        <v>23</v>
      </c>
    </row>
    <row r="69" spans="1:6" x14ac:dyDescent="0.2">
      <c r="A69" t="s">
        <v>7</v>
      </c>
      <c r="B69">
        <v>0.373</v>
      </c>
      <c r="C69" t="str">
        <f>IF(Table1[[#This Row],[p-value]]&lt;0.1, "*","")</f>
        <v/>
      </c>
      <c r="D69" t="str">
        <f>IF(Table1[[#This Row],[p-value]]&lt;0.05, "**","")</f>
        <v/>
      </c>
      <c r="E69" t="s">
        <v>8</v>
      </c>
      <c r="F69" t="s">
        <v>23</v>
      </c>
    </row>
    <row r="70" spans="1:6" x14ac:dyDescent="0.2">
      <c r="A70" t="s">
        <v>9</v>
      </c>
      <c r="B70">
        <v>0.41799999999999998</v>
      </c>
      <c r="C70" t="str">
        <f>IF(Table1[[#This Row],[p-value]]&lt;0.1, "*","")</f>
        <v/>
      </c>
      <c r="D70" t="str">
        <f>IF(Table1[[#This Row],[p-value]]&lt;0.05, "**","")</f>
        <v/>
      </c>
      <c r="E70" t="s">
        <v>8</v>
      </c>
      <c r="F70" t="s">
        <v>23</v>
      </c>
    </row>
    <row r="71" spans="1:6" x14ac:dyDescent="0.2">
      <c r="A71" t="s">
        <v>10</v>
      </c>
      <c r="B71">
        <v>0.63900000000000001</v>
      </c>
      <c r="C71" t="str">
        <f>IF(Table1[[#This Row],[p-value]]&lt;0.1, "*","")</f>
        <v/>
      </c>
      <c r="D71" t="str">
        <f>IF(Table1[[#This Row],[p-value]]&lt;0.05, "**","")</f>
        <v/>
      </c>
      <c r="E71" t="s">
        <v>5</v>
      </c>
      <c r="F71" t="s">
        <v>23</v>
      </c>
    </row>
    <row r="72" spans="1:6" x14ac:dyDescent="0.2">
      <c r="A72" t="s">
        <v>11</v>
      </c>
      <c r="B72">
        <v>5.0000000000000001E-3</v>
      </c>
      <c r="C72" t="str">
        <f>IF(Table1[[#This Row],[p-value]]&lt;0.1, "*","")</f>
        <v>*</v>
      </c>
      <c r="D72" t="str">
        <f>IF(Table1[[#This Row],[p-value]]&lt;0.05, "**","")</f>
        <v>**</v>
      </c>
      <c r="E72" t="s">
        <v>8</v>
      </c>
      <c r="F72" t="s">
        <v>23</v>
      </c>
    </row>
    <row r="73" spans="1:6" x14ac:dyDescent="0.2">
      <c r="A73" t="s">
        <v>12</v>
      </c>
      <c r="B73">
        <v>0.28199999999999997</v>
      </c>
      <c r="C73" t="str">
        <f>IF(Table1[[#This Row],[p-value]]&lt;0.1, "*","")</f>
        <v/>
      </c>
      <c r="D73" t="str">
        <f>IF(Table1[[#This Row],[p-value]]&lt;0.05, "**","")</f>
        <v/>
      </c>
      <c r="E73" t="s">
        <v>5</v>
      </c>
      <c r="F73" t="s">
        <v>23</v>
      </c>
    </row>
    <row r="74" spans="1:6" x14ac:dyDescent="0.2">
      <c r="A74" t="s">
        <v>4</v>
      </c>
      <c r="B74">
        <v>1</v>
      </c>
      <c r="C74" t="str">
        <f>IF(Table1[[#This Row],[p-value]]&lt;0.1, "*","")</f>
        <v/>
      </c>
      <c r="D74" t="str">
        <f>IF(Table1[[#This Row],[p-value]]&lt;0.05, "**","")</f>
        <v/>
      </c>
      <c r="E74" t="s">
        <v>5</v>
      </c>
      <c r="F74" t="s">
        <v>24</v>
      </c>
    </row>
    <row r="75" spans="1:6" x14ac:dyDescent="0.2">
      <c r="A75" t="s">
        <v>7</v>
      </c>
      <c r="B75">
        <v>1</v>
      </c>
      <c r="C75" t="str">
        <f>IF(Table1[[#This Row],[p-value]]&lt;0.1, "*","")</f>
        <v/>
      </c>
      <c r="D75" t="str">
        <f>IF(Table1[[#This Row],[p-value]]&lt;0.05, "**","")</f>
        <v/>
      </c>
      <c r="E75" t="s">
        <v>8</v>
      </c>
      <c r="F75" t="s">
        <v>24</v>
      </c>
    </row>
    <row r="76" spans="1:6" x14ac:dyDescent="0.2">
      <c r="A76" t="s">
        <v>9</v>
      </c>
      <c r="B76">
        <v>0.27900000000000003</v>
      </c>
      <c r="C76" t="str">
        <f>IF(Table1[[#This Row],[p-value]]&lt;0.1, "*","")</f>
        <v/>
      </c>
      <c r="D76" t="str">
        <f>IF(Table1[[#This Row],[p-value]]&lt;0.05, "**","")</f>
        <v/>
      </c>
      <c r="E76" t="s">
        <v>8</v>
      </c>
      <c r="F76" t="s">
        <v>24</v>
      </c>
    </row>
    <row r="77" spans="1:6" x14ac:dyDescent="0.2">
      <c r="A77" t="s">
        <v>10</v>
      </c>
      <c r="B77">
        <v>1</v>
      </c>
      <c r="C77" t="str">
        <f>IF(Table1[[#This Row],[p-value]]&lt;0.1, "*","")</f>
        <v/>
      </c>
      <c r="D77" t="str">
        <f>IF(Table1[[#This Row],[p-value]]&lt;0.05, "**","")</f>
        <v/>
      </c>
      <c r="E77" t="s">
        <v>5</v>
      </c>
      <c r="F77" t="s">
        <v>24</v>
      </c>
    </row>
    <row r="78" spans="1:6" x14ac:dyDescent="0.2">
      <c r="A78" t="s">
        <v>11</v>
      </c>
      <c r="B78">
        <v>0.14299999999999999</v>
      </c>
      <c r="C78" t="str">
        <f>IF(Table1[[#This Row],[p-value]]&lt;0.1, "*","")</f>
        <v/>
      </c>
      <c r="D78" t="str">
        <f>IF(Table1[[#This Row],[p-value]]&lt;0.05, "**","")</f>
        <v/>
      </c>
      <c r="E78" t="s">
        <v>8</v>
      </c>
      <c r="F78" t="s">
        <v>24</v>
      </c>
    </row>
    <row r="79" spans="1:6" x14ac:dyDescent="0.2">
      <c r="A79" t="s">
        <v>12</v>
      </c>
      <c r="B79">
        <v>0.20799999999999999</v>
      </c>
      <c r="C79" t="str">
        <f>IF(Table1[[#This Row],[p-value]]&lt;0.1, "*","")</f>
        <v/>
      </c>
      <c r="D79" t="str">
        <f>IF(Table1[[#This Row],[p-value]]&lt;0.05, "**","")</f>
        <v/>
      </c>
      <c r="E79" t="s">
        <v>8</v>
      </c>
      <c r="F79" t="s">
        <v>24</v>
      </c>
    </row>
    <row r="80" spans="1:6" x14ac:dyDescent="0.2">
      <c r="A80" t="s">
        <v>4</v>
      </c>
      <c r="B80">
        <v>0.11</v>
      </c>
      <c r="C80" t="str">
        <f>IF(Table1[[#This Row],[p-value]]&lt;0.1, "*","")</f>
        <v/>
      </c>
      <c r="D80" t="str">
        <f>IF(Table1[[#This Row],[p-value]]&lt;0.05, "**","")</f>
        <v/>
      </c>
      <c r="E80" t="s">
        <v>5</v>
      </c>
      <c r="F80" t="s">
        <v>25</v>
      </c>
    </row>
    <row r="81" spans="1:6" x14ac:dyDescent="0.2">
      <c r="A81" t="s">
        <v>7</v>
      </c>
      <c r="B81">
        <v>0.127</v>
      </c>
      <c r="C81" t="str">
        <f>IF(Table1[[#This Row],[p-value]]&lt;0.1, "*","")</f>
        <v/>
      </c>
      <c r="D81" t="str">
        <f>IF(Table1[[#This Row],[p-value]]&lt;0.05, "**","")</f>
        <v/>
      </c>
      <c r="E81" t="s">
        <v>8</v>
      </c>
      <c r="F81" t="s">
        <v>25</v>
      </c>
    </row>
    <row r="82" spans="1:6" x14ac:dyDescent="0.2">
      <c r="A82" t="s">
        <v>9</v>
      </c>
      <c r="B82">
        <v>0.70099999999999996</v>
      </c>
      <c r="C82" t="str">
        <f>IF(Table1[[#This Row],[p-value]]&lt;0.1, "*","")</f>
        <v/>
      </c>
      <c r="D82" t="str">
        <f>IF(Table1[[#This Row],[p-value]]&lt;0.05, "**","")</f>
        <v/>
      </c>
      <c r="E82" t="s">
        <v>5</v>
      </c>
      <c r="F82" t="s">
        <v>25</v>
      </c>
    </row>
    <row r="83" spans="1:6" x14ac:dyDescent="0.2">
      <c r="A83" t="s">
        <v>10</v>
      </c>
      <c r="B83">
        <v>0.26500000000000001</v>
      </c>
      <c r="C83" t="str">
        <f>IF(Table1[[#This Row],[p-value]]&lt;0.1, "*","")</f>
        <v/>
      </c>
      <c r="D83" t="str">
        <f>IF(Table1[[#This Row],[p-value]]&lt;0.05, "**","")</f>
        <v/>
      </c>
      <c r="E83" t="s">
        <v>5</v>
      </c>
      <c r="F83" t="s">
        <v>25</v>
      </c>
    </row>
    <row r="84" spans="1:6" x14ac:dyDescent="0.2">
      <c r="A84" t="s">
        <v>11</v>
      </c>
      <c r="B84">
        <v>0.11700000000000001</v>
      </c>
      <c r="C84" t="str">
        <f>IF(Table1[[#This Row],[p-value]]&lt;0.1, "*","")</f>
        <v/>
      </c>
      <c r="D84" t="str">
        <f>IF(Table1[[#This Row],[p-value]]&lt;0.05, "**","")</f>
        <v/>
      </c>
      <c r="E84" t="s">
        <v>5</v>
      </c>
      <c r="F84" t="s">
        <v>25</v>
      </c>
    </row>
    <row r="85" spans="1:6" x14ac:dyDescent="0.2">
      <c r="A85" t="s">
        <v>12</v>
      </c>
      <c r="B85">
        <v>0.61</v>
      </c>
      <c r="C85" t="str">
        <f>IF(Table1[[#This Row],[p-value]]&lt;0.1, "*","")</f>
        <v/>
      </c>
      <c r="D85" t="str">
        <f>IF(Table1[[#This Row],[p-value]]&lt;0.05, "**","")</f>
        <v/>
      </c>
      <c r="E85" t="s">
        <v>5</v>
      </c>
      <c r="F85" t="s">
        <v>25</v>
      </c>
    </row>
    <row r="86" spans="1:6" x14ac:dyDescent="0.2">
      <c r="A86" t="s">
        <v>4</v>
      </c>
      <c r="B86">
        <v>1</v>
      </c>
      <c r="C86" t="str">
        <f>IF(Table1[[#This Row],[p-value]]&lt;0.1, "*","")</f>
        <v/>
      </c>
      <c r="D86" t="str">
        <f>IF(Table1[[#This Row],[p-value]]&lt;0.05, "**","")</f>
        <v/>
      </c>
      <c r="E86" t="s">
        <v>5</v>
      </c>
      <c r="F86" t="s">
        <v>26</v>
      </c>
    </row>
    <row r="87" spans="1:6" x14ac:dyDescent="0.2">
      <c r="A87" t="s">
        <v>7</v>
      </c>
      <c r="B87">
        <v>1</v>
      </c>
      <c r="C87" t="str">
        <f>IF(Table1[[#This Row],[p-value]]&lt;0.1, "*","")</f>
        <v/>
      </c>
      <c r="D87" t="str">
        <f>IF(Table1[[#This Row],[p-value]]&lt;0.05, "**","")</f>
        <v/>
      </c>
      <c r="E87" t="s">
        <v>5</v>
      </c>
      <c r="F87" t="s">
        <v>26</v>
      </c>
    </row>
    <row r="88" spans="1:6" x14ac:dyDescent="0.2">
      <c r="A88" t="s">
        <v>9</v>
      </c>
      <c r="B88">
        <v>1</v>
      </c>
      <c r="C88" t="str">
        <f>IF(Table1[[#This Row],[p-value]]&lt;0.1, "*","")</f>
        <v/>
      </c>
      <c r="D88" t="str">
        <f>IF(Table1[[#This Row],[p-value]]&lt;0.05, "**","")</f>
        <v/>
      </c>
      <c r="E88" t="s">
        <v>5</v>
      </c>
      <c r="F88" t="s">
        <v>26</v>
      </c>
    </row>
    <row r="89" spans="1:6" x14ac:dyDescent="0.2">
      <c r="A89" t="s">
        <v>10</v>
      </c>
      <c r="B89">
        <v>1</v>
      </c>
      <c r="C89" t="str">
        <f>IF(Table1[[#This Row],[p-value]]&lt;0.1, "*","")</f>
        <v/>
      </c>
      <c r="D89" t="str">
        <f>IF(Table1[[#This Row],[p-value]]&lt;0.05, "**","")</f>
        <v/>
      </c>
      <c r="E89" t="s">
        <v>5</v>
      </c>
      <c r="F89" t="s">
        <v>26</v>
      </c>
    </row>
    <row r="90" spans="1:6" x14ac:dyDescent="0.2">
      <c r="A90" t="s">
        <v>11</v>
      </c>
      <c r="B90">
        <v>0.52600000000000002</v>
      </c>
      <c r="C90" t="str">
        <f>IF(Table1[[#This Row],[p-value]]&lt;0.1, "*","")</f>
        <v/>
      </c>
      <c r="D90" t="str">
        <f>IF(Table1[[#This Row],[p-value]]&lt;0.05, "**","")</f>
        <v/>
      </c>
      <c r="E90" t="s">
        <v>5</v>
      </c>
      <c r="F90" t="s">
        <v>26</v>
      </c>
    </row>
    <row r="91" spans="1:6" x14ac:dyDescent="0.2">
      <c r="A91" t="s">
        <v>12</v>
      </c>
      <c r="B91">
        <v>0.126</v>
      </c>
      <c r="C91" t="str">
        <f>IF(Table1[[#This Row],[p-value]]&lt;0.1, "*","")</f>
        <v/>
      </c>
      <c r="D91" t="str">
        <f>IF(Table1[[#This Row],[p-value]]&lt;0.05, "**","")</f>
        <v/>
      </c>
      <c r="E91" t="s">
        <v>5</v>
      </c>
      <c r="F91" t="s">
        <v>26</v>
      </c>
    </row>
    <row r="92" spans="1:6" x14ac:dyDescent="0.2">
      <c r="A92" t="s">
        <v>4</v>
      </c>
      <c r="B92">
        <v>1</v>
      </c>
      <c r="C92" t="str">
        <f>IF(Table1[[#This Row],[p-value]]&lt;0.1, "*","")</f>
        <v/>
      </c>
      <c r="D92" t="str">
        <f>IF(Table1[[#This Row],[p-value]]&lt;0.05, "**","")</f>
        <v/>
      </c>
      <c r="E92" t="s">
        <v>5</v>
      </c>
      <c r="F92" t="s">
        <v>27</v>
      </c>
    </row>
    <row r="93" spans="1:6" x14ac:dyDescent="0.2">
      <c r="A93" t="s">
        <v>7</v>
      </c>
      <c r="B93">
        <v>0.14699999999999999</v>
      </c>
      <c r="C93" t="str">
        <f>IF(Table1[[#This Row],[p-value]]&lt;0.1, "*","")</f>
        <v/>
      </c>
      <c r="D93" t="str">
        <f>IF(Table1[[#This Row],[p-value]]&lt;0.05, "**","")</f>
        <v/>
      </c>
      <c r="E93" t="s">
        <v>5</v>
      </c>
      <c r="F93" t="s">
        <v>27</v>
      </c>
    </row>
    <row r="94" spans="1:6" x14ac:dyDescent="0.2">
      <c r="A94" t="s">
        <v>9</v>
      </c>
      <c r="B94">
        <v>1</v>
      </c>
      <c r="C94" t="str">
        <f>IF(Table1[[#This Row],[p-value]]&lt;0.1, "*","")</f>
        <v/>
      </c>
      <c r="D94" t="str">
        <f>IF(Table1[[#This Row],[p-value]]&lt;0.05, "**","")</f>
        <v/>
      </c>
      <c r="E94" t="s">
        <v>5</v>
      </c>
      <c r="F94" t="s">
        <v>27</v>
      </c>
    </row>
    <row r="95" spans="1:6" x14ac:dyDescent="0.2">
      <c r="A95" t="s">
        <v>10</v>
      </c>
      <c r="B95">
        <v>1</v>
      </c>
      <c r="C95" t="str">
        <f>IF(Table1[[#This Row],[p-value]]&lt;0.1, "*","")</f>
        <v/>
      </c>
      <c r="D95" t="str">
        <f>IF(Table1[[#This Row],[p-value]]&lt;0.05, "**","")</f>
        <v/>
      </c>
      <c r="E95" t="s">
        <v>5</v>
      </c>
      <c r="F95" t="s">
        <v>27</v>
      </c>
    </row>
    <row r="96" spans="1:6" x14ac:dyDescent="0.2">
      <c r="A96" t="s">
        <v>11</v>
      </c>
      <c r="B96">
        <v>0.52600000000000002</v>
      </c>
      <c r="C96" t="str">
        <f>IF(Table1[[#This Row],[p-value]]&lt;0.1, "*","")</f>
        <v/>
      </c>
      <c r="D96" t="str">
        <f>IF(Table1[[#This Row],[p-value]]&lt;0.05, "**","")</f>
        <v/>
      </c>
      <c r="E96" t="s">
        <v>5</v>
      </c>
      <c r="F96" t="s">
        <v>27</v>
      </c>
    </row>
    <row r="97" spans="1:6" x14ac:dyDescent="0.2">
      <c r="A97" t="s">
        <v>12</v>
      </c>
      <c r="B97">
        <v>1</v>
      </c>
      <c r="C97" t="str">
        <f>IF(Table1[[#This Row],[p-value]]&lt;0.1, "*","")</f>
        <v/>
      </c>
      <c r="D97" t="str">
        <f>IF(Table1[[#This Row],[p-value]]&lt;0.05, "**","")</f>
        <v/>
      </c>
      <c r="E97" t="s">
        <v>5</v>
      </c>
      <c r="F97" t="s">
        <v>27</v>
      </c>
    </row>
    <row r="98" spans="1:6" x14ac:dyDescent="0.2">
      <c r="A98" t="s">
        <v>4</v>
      </c>
      <c r="B98">
        <v>1</v>
      </c>
      <c r="C98" t="str">
        <f>IF(Table1[[#This Row],[p-value]]&lt;0.1, "*","")</f>
        <v/>
      </c>
      <c r="D98" t="str">
        <f>IF(Table1[[#This Row],[p-value]]&lt;0.05, "**","")</f>
        <v/>
      </c>
      <c r="E98" t="s">
        <v>5</v>
      </c>
      <c r="F98" t="s">
        <v>28</v>
      </c>
    </row>
    <row r="99" spans="1:6" x14ac:dyDescent="0.2">
      <c r="A99" t="s">
        <v>7</v>
      </c>
      <c r="B99">
        <v>0.52400000000000002</v>
      </c>
      <c r="C99" t="str">
        <f>IF(Table1[[#This Row],[p-value]]&lt;0.1, "*","")</f>
        <v/>
      </c>
      <c r="D99" t="str">
        <f>IF(Table1[[#This Row],[p-value]]&lt;0.05, "**","")</f>
        <v/>
      </c>
      <c r="E99" t="s">
        <v>5</v>
      </c>
      <c r="F99" t="s">
        <v>28</v>
      </c>
    </row>
    <row r="100" spans="1:6" x14ac:dyDescent="0.2">
      <c r="A100" t="s">
        <v>9</v>
      </c>
      <c r="B100">
        <v>0.221</v>
      </c>
      <c r="C100" t="str">
        <f>IF(Table1[[#This Row],[p-value]]&lt;0.1, "*","")</f>
        <v/>
      </c>
      <c r="D100" t="str">
        <f>IF(Table1[[#This Row],[p-value]]&lt;0.05, "**","")</f>
        <v/>
      </c>
      <c r="E100" t="s">
        <v>5</v>
      </c>
      <c r="F100" t="s">
        <v>28</v>
      </c>
    </row>
    <row r="101" spans="1:6" x14ac:dyDescent="0.2">
      <c r="A101" t="s">
        <v>10</v>
      </c>
      <c r="B101">
        <v>1</v>
      </c>
      <c r="C101" t="str">
        <f>IF(Table1[[#This Row],[p-value]]&lt;0.1, "*","")</f>
        <v/>
      </c>
      <c r="D101" t="str">
        <f>IF(Table1[[#This Row],[p-value]]&lt;0.05, "**","")</f>
        <v/>
      </c>
      <c r="E101" t="s">
        <v>5</v>
      </c>
      <c r="F101" t="s">
        <v>28</v>
      </c>
    </row>
    <row r="102" spans="1:6" x14ac:dyDescent="0.2">
      <c r="A102" t="s">
        <v>11</v>
      </c>
      <c r="B102">
        <v>1</v>
      </c>
      <c r="C102" t="str">
        <f>IF(Table1[[#This Row],[p-value]]&lt;0.1, "*","")</f>
        <v/>
      </c>
      <c r="D102" t="str">
        <f>IF(Table1[[#This Row],[p-value]]&lt;0.05, "**","")</f>
        <v/>
      </c>
      <c r="E102" t="s">
        <v>5</v>
      </c>
      <c r="F102" t="s">
        <v>28</v>
      </c>
    </row>
    <row r="103" spans="1:6" x14ac:dyDescent="0.2">
      <c r="A103" t="s">
        <v>12</v>
      </c>
      <c r="B103">
        <v>1</v>
      </c>
      <c r="C103" t="str">
        <f>IF(Table1[[#This Row],[p-value]]&lt;0.1, "*","")</f>
        <v/>
      </c>
      <c r="D103" t="str">
        <f>IF(Table1[[#This Row],[p-value]]&lt;0.05, "**","")</f>
        <v/>
      </c>
      <c r="E103" t="s">
        <v>5</v>
      </c>
      <c r="F103" t="s">
        <v>28</v>
      </c>
    </row>
    <row r="104" spans="1:6" x14ac:dyDescent="0.2">
      <c r="A104" t="s">
        <v>4</v>
      </c>
      <c r="B104">
        <v>0.754</v>
      </c>
      <c r="C104" t="str">
        <f>IF(Table1[[#This Row],[p-value]]&lt;0.1, "*","")</f>
        <v/>
      </c>
      <c r="D104" t="str">
        <f>IF(Table1[[#This Row],[p-value]]&lt;0.05, "**","")</f>
        <v/>
      </c>
      <c r="E104" t="s">
        <v>5</v>
      </c>
      <c r="F104" t="s">
        <v>29</v>
      </c>
    </row>
    <row r="105" spans="1:6" x14ac:dyDescent="0.2">
      <c r="A105" t="s">
        <v>7</v>
      </c>
      <c r="B105">
        <v>1.0999999999999999E-2</v>
      </c>
      <c r="C105" t="str">
        <f>IF(Table1[[#This Row],[p-value]]&lt;0.1, "*","")</f>
        <v>*</v>
      </c>
      <c r="D105" t="str">
        <f>IF(Table1[[#This Row],[p-value]]&lt;0.05, "**","")</f>
        <v>**</v>
      </c>
      <c r="E105" t="s">
        <v>5</v>
      </c>
      <c r="F105" t="s">
        <v>29</v>
      </c>
    </row>
    <row r="106" spans="1:6" x14ac:dyDescent="0.2">
      <c r="A106" t="s">
        <v>9</v>
      </c>
      <c r="B106">
        <v>1</v>
      </c>
      <c r="C106" t="str">
        <f>IF(Table1[[#This Row],[p-value]]&lt;0.1, "*","")</f>
        <v/>
      </c>
      <c r="D106" t="str">
        <f>IF(Table1[[#This Row],[p-value]]&lt;0.05, "**","")</f>
        <v/>
      </c>
      <c r="E106" t="s">
        <v>5</v>
      </c>
      <c r="F106" t="s">
        <v>29</v>
      </c>
    </row>
    <row r="107" spans="1:6" x14ac:dyDescent="0.2">
      <c r="A107" t="s">
        <v>10</v>
      </c>
      <c r="B107">
        <v>1</v>
      </c>
      <c r="C107" t="str">
        <f>IF(Table1[[#This Row],[p-value]]&lt;0.1, "*","")</f>
        <v/>
      </c>
      <c r="D107" t="str">
        <f>IF(Table1[[#This Row],[p-value]]&lt;0.05, "**","")</f>
        <v/>
      </c>
      <c r="E107" t="s">
        <v>5</v>
      </c>
      <c r="F107" t="s">
        <v>29</v>
      </c>
    </row>
    <row r="108" spans="1:6" x14ac:dyDescent="0.2">
      <c r="A108" t="s">
        <v>11</v>
      </c>
      <c r="B108">
        <v>9.9000000000000005E-2</v>
      </c>
      <c r="C108" t="str">
        <f>IF(Table1[[#This Row],[p-value]]&lt;0.1, "*","")</f>
        <v>*</v>
      </c>
      <c r="D108" t="str">
        <f>IF(Table1[[#This Row],[p-value]]&lt;0.05, "**","")</f>
        <v/>
      </c>
      <c r="E108" t="s">
        <v>5</v>
      </c>
      <c r="F108" t="s">
        <v>29</v>
      </c>
    </row>
    <row r="109" spans="1:6" x14ac:dyDescent="0.2">
      <c r="A109" t="s">
        <v>12</v>
      </c>
      <c r="B109">
        <v>0.105</v>
      </c>
      <c r="C109" t="str">
        <f>IF(Table1[[#This Row],[p-value]]&lt;0.1, "*","")</f>
        <v/>
      </c>
      <c r="D109" t="str">
        <f>IF(Table1[[#This Row],[p-value]]&lt;0.05, "**","")</f>
        <v/>
      </c>
      <c r="E109" t="s">
        <v>5</v>
      </c>
      <c r="F109" t="s">
        <v>29</v>
      </c>
    </row>
    <row r="110" spans="1:6" x14ac:dyDescent="0.2">
      <c r="A110" t="s">
        <v>4</v>
      </c>
      <c r="B110">
        <v>1</v>
      </c>
      <c r="C110" t="str">
        <f>IF(Table1[[#This Row],[p-value]]&lt;0.1, "*","")</f>
        <v/>
      </c>
      <c r="D110" t="str">
        <f>IF(Table1[[#This Row],[p-value]]&lt;0.05, "**","")</f>
        <v/>
      </c>
      <c r="E110" t="s">
        <v>5</v>
      </c>
      <c r="F110" t="s">
        <v>30</v>
      </c>
    </row>
    <row r="111" spans="1:6" x14ac:dyDescent="0.2">
      <c r="A111" t="s">
        <v>7</v>
      </c>
      <c r="B111">
        <v>0.33700000000000002</v>
      </c>
      <c r="C111" t="str">
        <f>IF(Table1[[#This Row],[p-value]]&lt;0.1, "*","")</f>
        <v/>
      </c>
      <c r="D111" t="str">
        <f>IF(Table1[[#This Row],[p-value]]&lt;0.05, "**","")</f>
        <v/>
      </c>
      <c r="E111" t="s">
        <v>5</v>
      </c>
      <c r="F111" t="s">
        <v>30</v>
      </c>
    </row>
    <row r="112" spans="1:6" x14ac:dyDescent="0.2">
      <c r="A112" t="s">
        <v>9</v>
      </c>
      <c r="B112">
        <v>0.27500000000000002</v>
      </c>
      <c r="C112" t="str">
        <f>IF(Table1[[#This Row],[p-value]]&lt;0.1, "*","")</f>
        <v/>
      </c>
      <c r="D112" t="str">
        <f>IF(Table1[[#This Row],[p-value]]&lt;0.05, "**","")</f>
        <v/>
      </c>
      <c r="E112" t="s">
        <v>5</v>
      </c>
      <c r="F112" t="s">
        <v>30</v>
      </c>
    </row>
    <row r="113" spans="1:6" x14ac:dyDescent="0.2">
      <c r="A113" t="s">
        <v>10</v>
      </c>
      <c r="B113">
        <v>1</v>
      </c>
      <c r="C113" t="str">
        <f>IF(Table1[[#This Row],[p-value]]&lt;0.1, "*","")</f>
        <v/>
      </c>
      <c r="D113" t="str">
        <f>IF(Table1[[#This Row],[p-value]]&lt;0.05, "**","")</f>
        <v/>
      </c>
      <c r="E113" t="s">
        <v>5</v>
      </c>
      <c r="F113" t="s">
        <v>30</v>
      </c>
    </row>
    <row r="114" spans="1:6" x14ac:dyDescent="0.2">
      <c r="A114" t="s">
        <v>11</v>
      </c>
      <c r="B114">
        <v>0.66900000000000004</v>
      </c>
      <c r="C114" t="str">
        <f>IF(Table1[[#This Row],[p-value]]&lt;0.1, "*","")</f>
        <v/>
      </c>
      <c r="D114" t="str">
        <f>IF(Table1[[#This Row],[p-value]]&lt;0.05, "**","")</f>
        <v/>
      </c>
      <c r="E114" t="s">
        <v>5</v>
      </c>
      <c r="F114" t="s">
        <v>30</v>
      </c>
    </row>
    <row r="115" spans="1:6" x14ac:dyDescent="0.2">
      <c r="A115" t="s">
        <v>12</v>
      </c>
      <c r="B115">
        <v>1</v>
      </c>
      <c r="C115" t="str">
        <f>IF(Table1[[#This Row],[p-value]]&lt;0.1, "*","")</f>
        <v/>
      </c>
      <c r="D115" t="str">
        <f>IF(Table1[[#This Row],[p-value]]&lt;0.05, "**","")</f>
        <v/>
      </c>
      <c r="E115" t="s">
        <v>5</v>
      </c>
      <c r="F115" t="s">
        <v>30</v>
      </c>
    </row>
    <row r="116" spans="1:6" x14ac:dyDescent="0.2">
      <c r="A116" t="s">
        <v>4</v>
      </c>
      <c r="B116">
        <v>0.28100000000000003</v>
      </c>
      <c r="C116" t="str">
        <f>IF(Table1[[#This Row],[p-value]]&lt;0.1, "*","")</f>
        <v/>
      </c>
      <c r="D116" t="str">
        <f>IF(Table1[[#This Row],[p-value]]&lt;0.05, "**","")</f>
        <v/>
      </c>
      <c r="E116" t="s">
        <v>31</v>
      </c>
      <c r="F116" t="s">
        <v>32</v>
      </c>
    </row>
    <row r="117" spans="1:6" x14ac:dyDescent="0.2">
      <c r="A117" t="s">
        <v>7</v>
      </c>
      <c r="B117">
        <v>0.157</v>
      </c>
      <c r="C117" t="str">
        <f>IF(Table1[[#This Row],[p-value]]&lt;0.1, "*","")</f>
        <v/>
      </c>
      <c r="D117" t="str">
        <f>IF(Table1[[#This Row],[p-value]]&lt;0.05, "**","")</f>
        <v/>
      </c>
      <c r="E117" t="s">
        <v>31</v>
      </c>
      <c r="F117" t="s">
        <v>32</v>
      </c>
    </row>
    <row r="118" spans="1:6" x14ac:dyDescent="0.2">
      <c r="A118" t="s">
        <v>9</v>
      </c>
      <c r="B118">
        <v>0.28999999999999998</v>
      </c>
      <c r="C118" t="str">
        <f>IF(Table1[[#This Row],[p-value]]&lt;0.1, "*","")</f>
        <v/>
      </c>
      <c r="D118" t="str">
        <f>IF(Table1[[#This Row],[p-value]]&lt;0.05, "**","")</f>
        <v/>
      </c>
      <c r="E118" t="s">
        <v>31</v>
      </c>
      <c r="F118" t="s">
        <v>32</v>
      </c>
    </row>
    <row r="119" spans="1:6" x14ac:dyDescent="0.2">
      <c r="A119" t="s">
        <v>10</v>
      </c>
      <c r="B119">
        <v>0.182</v>
      </c>
      <c r="C119" t="str">
        <f>IF(Table1[[#This Row],[p-value]]&lt;0.1, "*","")</f>
        <v/>
      </c>
      <c r="D119" t="str">
        <f>IF(Table1[[#This Row],[p-value]]&lt;0.05, "**","")</f>
        <v/>
      </c>
      <c r="E119" t="s">
        <v>31</v>
      </c>
      <c r="F119" t="s">
        <v>32</v>
      </c>
    </row>
    <row r="120" spans="1:6" x14ac:dyDescent="0.2">
      <c r="A120" t="s">
        <v>11</v>
      </c>
      <c r="B120">
        <v>0.127</v>
      </c>
      <c r="C120" t="str">
        <f>IF(Table1[[#This Row],[p-value]]&lt;0.1, "*","")</f>
        <v/>
      </c>
      <c r="D120" t="str">
        <f>IF(Table1[[#This Row],[p-value]]&lt;0.05, "**","")</f>
        <v/>
      </c>
      <c r="E120" t="s">
        <v>31</v>
      </c>
      <c r="F120" t="s">
        <v>32</v>
      </c>
    </row>
    <row r="121" spans="1:6" x14ac:dyDescent="0.2">
      <c r="A121" t="s">
        <v>12</v>
      </c>
      <c r="B121">
        <v>0.50700000000000001</v>
      </c>
      <c r="C121" t="str">
        <f>IF(Table1[[#This Row],[p-value]]&lt;0.1, "*","")</f>
        <v/>
      </c>
      <c r="D121" t="str">
        <f>IF(Table1[[#This Row],[p-value]]&lt;0.05, "**","")</f>
        <v/>
      </c>
      <c r="E121" t="s">
        <v>31</v>
      </c>
      <c r="F121" t="s">
        <v>32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Karol</cp:lastModifiedBy>
  <dcterms:created xsi:type="dcterms:W3CDTF">2024-01-31T11:49:32Z</dcterms:created>
  <dcterms:modified xsi:type="dcterms:W3CDTF">2024-01-31T16:55:07Z</dcterms:modified>
</cp:coreProperties>
</file>
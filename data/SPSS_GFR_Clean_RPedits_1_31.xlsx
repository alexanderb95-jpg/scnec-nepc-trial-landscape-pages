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F4B2EF1F-79CE-0B46-8413-8A6A2F37B8CC}" xr6:coauthVersionLast="47" xr6:coauthVersionMax="47" xr10:uidLastSave="{00000000-0000-0000-0000-000000000000}"/>
  <bookViews>
    <workbookView xWindow="320" yWindow="500" windowWidth="16620" windowHeight="15720" xr2:uid="{BE6D8D63-CCF7-C942-A54A-7AC746BFABF3}"/>
  </bookViews>
  <sheets>
    <sheet name="Sheet1" sheetId="3" r:id="rId1"/>
    <sheet name="SPSS" sheetId="2" r:id="rId2"/>
  </sheets>
  <externalReferences>
    <externalReference r:id="rId3"/>
    <externalReference r:id="rId4"/>
  </externalReferences>
  <definedNames>
    <definedName name="_xlnm._FilterDatabase" localSheetId="0" hidden="1">Sheet1!$A$1:$AP$232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" i="3"/>
  <c r="AE7" i="3"/>
  <c r="AE15" i="3"/>
  <c r="AE23" i="3"/>
  <c r="AE31" i="3"/>
  <c r="AE39" i="3"/>
  <c r="AE47" i="3"/>
  <c r="AE55" i="3"/>
  <c r="AE63" i="3"/>
  <c r="AE71" i="3"/>
  <c r="AE79" i="3"/>
  <c r="AE87" i="3"/>
  <c r="AE95" i="3"/>
  <c r="AE103" i="3"/>
  <c r="AE111" i="3"/>
  <c r="W3" i="3"/>
  <c r="AE3" i="3" s="1"/>
  <c r="W4" i="3"/>
  <c r="AE4" i="3" s="1"/>
  <c r="W5" i="3"/>
  <c r="AE5" i="3" s="1"/>
  <c r="W6" i="3"/>
  <c r="AE6" i="3" s="1"/>
  <c r="W7" i="3"/>
  <c r="W8" i="3"/>
  <c r="AE8" i="3" s="1"/>
  <c r="W9" i="3"/>
  <c r="AE9" i="3" s="1"/>
  <c r="W10" i="3"/>
  <c r="Y10" i="3" s="1"/>
  <c r="W11" i="3"/>
  <c r="AE11" i="3" s="1"/>
  <c r="W12" i="3"/>
  <c r="AE12" i="3" s="1"/>
  <c r="W13" i="3"/>
  <c r="AE13" i="3" s="1"/>
  <c r="W14" i="3"/>
  <c r="AE14" i="3" s="1"/>
  <c r="W15" i="3"/>
  <c r="W16" i="3"/>
  <c r="AE16" i="3" s="1"/>
  <c r="W17" i="3"/>
  <c r="AE17" i="3" s="1"/>
  <c r="W18" i="3"/>
  <c r="Z18" i="3" s="1"/>
  <c r="W19" i="3"/>
  <c r="AE19" i="3" s="1"/>
  <c r="W20" i="3"/>
  <c r="AE20" i="3" s="1"/>
  <c r="W21" i="3"/>
  <c r="AE21" i="3" s="1"/>
  <c r="W22" i="3"/>
  <c r="AE22" i="3" s="1"/>
  <c r="W23" i="3"/>
  <c r="W24" i="3"/>
  <c r="AE24" i="3" s="1"/>
  <c r="W25" i="3"/>
  <c r="AE25" i="3" s="1"/>
  <c r="W26" i="3"/>
  <c r="AC26" i="3" s="1"/>
  <c r="W27" i="3"/>
  <c r="AE27" i="3" s="1"/>
  <c r="W28" i="3"/>
  <c r="AE28" i="3" s="1"/>
  <c r="W29" i="3"/>
  <c r="AE29" i="3" s="1"/>
  <c r="W30" i="3"/>
  <c r="AE30" i="3" s="1"/>
  <c r="W31" i="3"/>
  <c r="W32" i="3"/>
  <c r="AE32" i="3" s="1"/>
  <c r="W33" i="3"/>
  <c r="AE33" i="3" s="1"/>
  <c r="W34" i="3"/>
  <c r="AC34" i="3" s="1"/>
  <c r="W35" i="3"/>
  <c r="AE35" i="3" s="1"/>
  <c r="W36" i="3"/>
  <c r="AE36" i="3" s="1"/>
  <c r="W37" i="3"/>
  <c r="AE37" i="3" s="1"/>
  <c r="W38" i="3"/>
  <c r="AE38" i="3" s="1"/>
  <c r="W39" i="3"/>
  <c r="W40" i="3"/>
  <c r="AE40" i="3" s="1"/>
  <c r="W41" i="3"/>
  <c r="AE41" i="3" s="1"/>
  <c r="W42" i="3"/>
  <c r="AC42" i="3" s="1"/>
  <c r="W43" i="3"/>
  <c r="AE43" i="3" s="1"/>
  <c r="W44" i="3"/>
  <c r="AE44" i="3" s="1"/>
  <c r="W45" i="3"/>
  <c r="AE45" i="3" s="1"/>
  <c r="W46" i="3"/>
  <c r="AE46" i="3" s="1"/>
  <c r="W47" i="3"/>
  <c r="W48" i="3"/>
  <c r="AE48" i="3" s="1"/>
  <c r="W49" i="3"/>
  <c r="AE49" i="3" s="1"/>
  <c r="W50" i="3"/>
  <c r="AC50" i="3" s="1"/>
  <c r="W51" i="3"/>
  <c r="AE51" i="3" s="1"/>
  <c r="W52" i="3"/>
  <c r="AE52" i="3" s="1"/>
  <c r="W53" i="3"/>
  <c r="AE53" i="3" s="1"/>
  <c r="W54" i="3"/>
  <c r="AE54" i="3" s="1"/>
  <c r="W55" i="3"/>
  <c r="W56" i="3"/>
  <c r="AE56" i="3" s="1"/>
  <c r="W57" i="3"/>
  <c r="AE57" i="3" s="1"/>
  <c r="W58" i="3"/>
  <c r="AC58" i="3" s="1"/>
  <c r="W59" i="3"/>
  <c r="AE59" i="3" s="1"/>
  <c r="W60" i="3"/>
  <c r="AE60" i="3" s="1"/>
  <c r="W61" i="3"/>
  <c r="AE61" i="3" s="1"/>
  <c r="W62" i="3"/>
  <c r="AE62" i="3" s="1"/>
  <c r="W63" i="3"/>
  <c r="W64" i="3"/>
  <c r="AE64" i="3" s="1"/>
  <c r="W65" i="3"/>
  <c r="AE65" i="3" s="1"/>
  <c r="W66" i="3"/>
  <c r="AC66" i="3" s="1"/>
  <c r="W67" i="3"/>
  <c r="AE67" i="3" s="1"/>
  <c r="W68" i="3"/>
  <c r="AE68" i="3" s="1"/>
  <c r="W69" i="3"/>
  <c r="AE69" i="3" s="1"/>
  <c r="W70" i="3"/>
  <c r="AE70" i="3" s="1"/>
  <c r="W71" i="3"/>
  <c r="W72" i="3"/>
  <c r="AE72" i="3" s="1"/>
  <c r="W73" i="3"/>
  <c r="AE73" i="3" s="1"/>
  <c r="W74" i="3"/>
  <c r="AC74" i="3" s="1"/>
  <c r="W75" i="3"/>
  <c r="AE75" i="3" s="1"/>
  <c r="W76" i="3"/>
  <c r="AE76" i="3" s="1"/>
  <c r="W77" i="3"/>
  <c r="AE77" i="3" s="1"/>
  <c r="W78" i="3"/>
  <c r="AE78" i="3" s="1"/>
  <c r="W79" i="3"/>
  <c r="W80" i="3"/>
  <c r="AE80" i="3" s="1"/>
  <c r="W81" i="3"/>
  <c r="AE81" i="3" s="1"/>
  <c r="W82" i="3"/>
  <c r="AC82" i="3" s="1"/>
  <c r="W83" i="3"/>
  <c r="AE83" i="3" s="1"/>
  <c r="W84" i="3"/>
  <c r="AE84" i="3" s="1"/>
  <c r="W85" i="3"/>
  <c r="AE85" i="3" s="1"/>
  <c r="W86" i="3"/>
  <c r="AE86" i="3" s="1"/>
  <c r="W87" i="3"/>
  <c r="W88" i="3"/>
  <c r="AE88" i="3" s="1"/>
  <c r="W89" i="3"/>
  <c r="AE89" i="3" s="1"/>
  <c r="W90" i="3"/>
  <c r="AC90" i="3" s="1"/>
  <c r="W91" i="3"/>
  <c r="AE91" i="3" s="1"/>
  <c r="W92" i="3"/>
  <c r="AE92" i="3" s="1"/>
  <c r="W93" i="3"/>
  <c r="AE93" i="3" s="1"/>
  <c r="W94" i="3"/>
  <c r="AE94" i="3" s="1"/>
  <c r="W95" i="3"/>
  <c r="W96" i="3"/>
  <c r="AE96" i="3" s="1"/>
  <c r="W97" i="3"/>
  <c r="AE97" i="3" s="1"/>
  <c r="W98" i="3"/>
  <c r="AC98" i="3" s="1"/>
  <c r="W99" i="3"/>
  <c r="AE99" i="3" s="1"/>
  <c r="W100" i="3"/>
  <c r="AE100" i="3" s="1"/>
  <c r="W101" i="3"/>
  <c r="AE101" i="3" s="1"/>
  <c r="W102" i="3"/>
  <c r="AE102" i="3" s="1"/>
  <c r="W103" i="3"/>
  <c r="W104" i="3"/>
  <c r="AE104" i="3" s="1"/>
  <c r="W105" i="3"/>
  <c r="AE105" i="3" s="1"/>
  <c r="W106" i="3"/>
  <c r="AC106" i="3" s="1"/>
  <c r="W107" i="3"/>
  <c r="AE107" i="3" s="1"/>
  <c r="W108" i="3"/>
  <c r="AE108" i="3" s="1"/>
  <c r="W109" i="3"/>
  <c r="AE109" i="3" s="1"/>
  <c r="W110" i="3"/>
  <c r="AE110" i="3" s="1"/>
  <c r="W111" i="3"/>
  <c r="W112" i="3"/>
  <c r="AE112" i="3" s="1"/>
  <c r="W113" i="3"/>
  <c r="AE113" i="3" s="1"/>
  <c r="W114" i="3"/>
  <c r="AC114" i="3" s="1"/>
  <c r="W115" i="3"/>
  <c r="AE115" i="3" s="1"/>
  <c r="W116" i="3"/>
  <c r="AE116" i="3" s="1"/>
  <c r="W117" i="3"/>
  <c r="AE117" i="3" s="1"/>
  <c r="W118" i="3"/>
  <c r="AE118" i="3" s="1"/>
  <c r="W119" i="3"/>
  <c r="AE119" i="3" s="1"/>
  <c r="W120" i="3"/>
  <c r="AE120" i="3" s="1"/>
  <c r="W121" i="3"/>
  <c r="AE121" i="3" s="1"/>
  <c r="W122" i="3"/>
  <c r="AC122" i="3" s="1"/>
  <c r="W123" i="3"/>
  <c r="AE123" i="3" s="1"/>
  <c r="W124" i="3"/>
  <c r="AE124" i="3" s="1"/>
  <c r="W125" i="3"/>
  <c r="AE125" i="3" s="1"/>
  <c r="W126" i="3"/>
  <c r="AE126" i="3" s="1"/>
  <c r="W127" i="3"/>
  <c r="AE127" i="3" s="1"/>
  <c r="W128" i="3"/>
  <c r="AE128" i="3" s="1"/>
  <c r="W129" i="3"/>
  <c r="AE129" i="3" s="1"/>
  <c r="W130" i="3"/>
  <c r="AC130" i="3" s="1"/>
  <c r="W131" i="3"/>
  <c r="AE131" i="3" s="1"/>
  <c r="W132" i="3"/>
  <c r="AE132" i="3" s="1"/>
  <c r="W133" i="3"/>
  <c r="AE133" i="3" s="1"/>
  <c r="W134" i="3"/>
  <c r="AE134" i="3" s="1"/>
  <c r="W135" i="3"/>
  <c r="AE135" i="3" s="1"/>
  <c r="W136" i="3"/>
  <c r="AE136" i="3" s="1"/>
  <c r="W137" i="3"/>
  <c r="AE137" i="3" s="1"/>
  <c r="W138" i="3"/>
  <c r="AC138" i="3" s="1"/>
  <c r="W139" i="3"/>
  <c r="AE139" i="3" s="1"/>
  <c r="W140" i="3"/>
  <c r="AE140" i="3" s="1"/>
  <c r="W141" i="3"/>
  <c r="AE141" i="3" s="1"/>
  <c r="W142" i="3"/>
  <c r="AE142" i="3" s="1"/>
  <c r="W143" i="3"/>
  <c r="AE143" i="3" s="1"/>
  <c r="W144" i="3"/>
  <c r="AE144" i="3" s="1"/>
  <c r="W145" i="3"/>
  <c r="AE145" i="3" s="1"/>
  <c r="W146" i="3"/>
  <c r="AC146" i="3" s="1"/>
  <c r="W147" i="3"/>
  <c r="AE147" i="3" s="1"/>
  <c r="W148" i="3"/>
  <c r="AE148" i="3" s="1"/>
  <c r="W149" i="3"/>
  <c r="AE149" i="3" s="1"/>
  <c r="W150" i="3"/>
  <c r="AE150" i="3" s="1"/>
  <c r="W151" i="3"/>
  <c r="AE151" i="3" s="1"/>
  <c r="W152" i="3"/>
  <c r="AE152" i="3" s="1"/>
  <c r="W153" i="3"/>
  <c r="AE153" i="3" s="1"/>
  <c r="W154" i="3"/>
  <c r="AC154" i="3" s="1"/>
  <c r="W155" i="3"/>
  <c r="AE155" i="3" s="1"/>
  <c r="W156" i="3"/>
  <c r="AE156" i="3" s="1"/>
  <c r="W157" i="3"/>
  <c r="AE157" i="3" s="1"/>
  <c r="W158" i="3"/>
  <c r="AE158" i="3" s="1"/>
  <c r="W159" i="3"/>
  <c r="AE159" i="3" s="1"/>
  <c r="W160" i="3"/>
  <c r="AE160" i="3" s="1"/>
  <c r="W161" i="3"/>
  <c r="AE161" i="3" s="1"/>
  <c r="W162" i="3"/>
  <c r="AC162" i="3" s="1"/>
  <c r="W163" i="3"/>
  <c r="AE163" i="3" s="1"/>
  <c r="W164" i="3"/>
  <c r="AE164" i="3" s="1"/>
  <c r="W165" i="3"/>
  <c r="AE165" i="3" s="1"/>
  <c r="W166" i="3"/>
  <c r="AE166" i="3" s="1"/>
  <c r="W167" i="3"/>
  <c r="AE167" i="3" s="1"/>
  <c r="W168" i="3"/>
  <c r="AE168" i="3" s="1"/>
  <c r="W169" i="3"/>
  <c r="AE169" i="3" s="1"/>
  <c r="W170" i="3"/>
  <c r="AC170" i="3" s="1"/>
  <c r="W171" i="3"/>
  <c r="AE171" i="3" s="1"/>
  <c r="W172" i="3"/>
  <c r="AE172" i="3" s="1"/>
  <c r="W173" i="3"/>
  <c r="AE173" i="3" s="1"/>
  <c r="W174" i="3"/>
  <c r="AE174" i="3" s="1"/>
  <c r="W175" i="3"/>
  <c r="AE175" i="3" s="1"/>
  <c r="W176" i="3"/>
  <c r="AC176" i="3" s="1"/>
  <c r="W177" i="3"/>
  <c r="AE177" i="3" s="1"/>
  <c r="W178" i="3"/>
  <c r="AC178" i="3" s="1"/>
  <c r="W179" i="3"/>
  <c r="AE179" i="3" s="1"/>
  <c r="W180" i="3"/>
  <c r="AE180" i="3" s="1"/>
  <c r="W181" i="3"/>
  <c r="AE181" i="3" s="1"/>
  <c r="W182" i="3"/>
  <c r="AE182" i="3" s="1"/>
  <c r="W183" i="3"/>
  <c r="AE183" i="3" s="1"/>
  <c r="W184" i="3"/>
  <c r="AC184" i="3" s="1"/>
  <c r="W185" i="3"/>
  <c r="AE185" i="3" s="1"/>
  <c r="W186" i="3"/>
  <c r="AC186" i="3" s="1"/>
  <c r="W187" i="3"/>
  <c r="AE187" i="3" s="1"/>
  <c r="W188" i="3"/>
  <c r="AE188" i="3" s="1"/>
  <c r="W189" i="3"/>
  <c r="AE189" i="3" s="1"/>
  <c r="W190" i="3"/>
  <c r="AE190" i="3" s="1"/>
  <c r="W191" i="3"/>
  <c r="AE191" i="3" s="1"/>
  <c r="W192" i="3"/>
  <c r="AC192" i="3" s="1"/>
  <c r="W193" i="3"/>
  <c r="AE193" i="3" s="1"/>
  <c r="W194" i="3"/>
  <c r="AC194" i="3" s="1"/>
  <c r="W195" i="3"/>
  <c r="AE195" i="3" s="1"/>
  <c r="W196" i="3"/>
  <c r="AE196" i="3" s="1"/>
  <c r="W197" i="3"/>
  <c r="AE197" i="3" s="1"/>
  <c r="W198" i="3"/>
  <c r="AE198" i="3" s="1"/>
  <c r="W199" i="3"/>
  <c r="AC199" i="3" s="1"/>
  <c r="W200" i="3"/>
  <c r="AC200" i="3" s="1"/>
  <c r="W201" i="3"/>
  <c r="AE201" i="3" s="1"/>
  <c r="W202" i="3"/>
  <c r="AC202" i="3" s="1"/>
  <c r="W203" i="3"/>
  <c r="AE203" i="3" s="1"/>
  <c r="W204" i="3"/>
  <c r="AE204" i="3" s="1"/>
  <c r="W205" i="3"/>
  <c r="AE205" i="3" s="1"/>
  <c r="W206" i="3"/>
  <c r="AE206" i="3" s="1"/>
  <c r="W207" i="3"/>
  <c r="AC207" i="3" s="1"/>
  <c r="W208" i="3"/>
  <c r="AC208" i="3" s="1"/>
  <c r="W209" i="3"/>
  <c r="AE209" i="3" s="1"/>
  <c r="W210" i="3"/>
  <c r="AC210" i="3" s="1"/>
  <c r="W211" i="3"/>
  <c r="AE211" i="3" s="1"/>
  <c r="W212" i="3"/>
  <c r="AE212" i="3" s="1"/>
  <c r="W213" i="3"/>
  <c r="AE213" i="3" s="1"/>
  <c r="W214" i="3"/>
  <c r="AE214" i="3" s="1"/>
  <c r="W215" i="3"/>
  <c r="AC215" i="3" s="1"/>
  <c r="W216" i="3"/>
  <c r="AC216" i="3" s="1"/>
  <c r="W217" i="3"/>
  <c r="AE217" i="3" s="1"/>
  <c r="W218" i="3"/>
  <c r="AC218" i="3" s="1"/>
  <c r="W219" i="3"/>
  <c r="AE219" i="3" s="1"/>
  <c r="W220" i="3"/>
  <c r="AE220" i="3" s="1"/>
  <c r="W221" i="3"/>
  <c r="AE221" i="3" s="1"/>
  <c r="W222" i="3"/>
  <c r="AE222" i="3" s="1"/>
  <c r="W223" i="3"/>
  <c r="AC223" i="3" s="1"/>
  <c r="W224" i="3"/>
  <c r="AC224" i="3" s="1"/>
  <c r="W225" i="3"/>
  <c r="AE225" i="3" s="1"/>
  <c r="W226" i="3"/>
  <c r="AC226" i="3" s="1"/>
  <c r="W227" i="3"/>
  <c r="AE227" i="3" s="1"/>
  <c r="W228" i="3"/>
  <c r="AE228" i="3" s="1"/>
  <c r="W229" i="3"/>
  <c r="AE229" i="3" s="1"/>
  <c r="W230" i="3"/>
  <c r="AE230" i="3" s="1"/>
  <c r="W231" i="3"/>
  <c r="AC231" i="3" s="1"/>
  <c r="W232" i="3"/>
  <c r="AC232" i="3" s="1"/>
  <c r="AC3" i="3"/>
  <c r="AC4" i="3"/>
  <c r="AC5" i="3"/>
  <c r="AC6" i="3"/>
  <c r="AC7" i="3"/>
  <c r="AC8" i="3"/>
  <c r="AC9" i="3"/>
  <c r="AC11" i="3"/>
  <c r="AC12" i="3"/>
  <c r="AC13" i="3"/>
  <c r="AC14" i="3"/>
  <c r="AC15" i="3"/>
  <c r="AC16" i="3"/>
  <c r="AC17" i="3"/>
  <c r="AC19" i="3"/>
  <c r="AC20" i="3"/>
  <c r="AC21" i="3"/>
  <c r="AC22" i="3"/>
  <c r="AC23" i="3"/>
  <c r="AC24" i="3"/>
  <c r="AC25" i="3"/>
  <c r="AC27" i="3"/>
  <c r="AC28" i="3"/>
  <c r="AC29" i="3"/>
  <c r="AC30" i="3"/>
  <c r="AC31" i="3"/>
  <c r="AC32" i="3"/>
  <c r="AC33" i="3"/>
  <c r="AC35" i="3"/>
  <c r="AC36" i="3"/>
  <c r="AC37" i="3"/>
  <c r="AC38" i="3"/>
  <c r="AC39" i="3"/>
  <c r="AC40" i="3"/>
  <c r="AC41" i="3"/>
  <c r="AC43" i="3"/>
  <c r="AC44" i="3"/>
  <c r="AC45" i="3"/>
  <c r="AC46" i="3"/>
  <c r="AC47" i="3"/>
  <c r="AC48" i="3"/>
  <c r="AC49" i="3"/>
  <c r="AC51" i="3"/>
  <c r="AC52" i="3"/>
  <c r="AC53" i="3"/>
  <c r="AC54" i="3"/>
  <c r="AC55" i="3"/>
  <c r="AC56" i="3"/>
  <c r="AC57" i="3"/>
  <c r="AC59" i="3"/>
  <c r="AC60" i="3"/>
  <c r="AC61" i="3"/>
  <c r="AC62" i="3"/>
  <c r="AC63" i="3"/>
  <c r="AC64" i="3"/>
  <c r="AC65" i="3"/>
  <c r="AC67" i="3"/>
  <c r="AC68" i="3"/>
  <c r="AC69" i="3"/>
  <c r="AC70" i="3"/>
  <c r="AC71" i="3"/>
  <c r="AC72" i="3"/>
  <c r="AC73" i="3"/>
  <c r="AC75" i="3"/>
  <c r="AC76" i="3"/>
  <c r="AC77" i="3"/>
  <c r="AC78" i="3"/>
  <c r="AC79" i="3"/>
  <c r="AC80" i="3"/>
  <c r="AC81" i="3"/>
  <c r="AC83" i="3"/>
  <c r="AC84" i="3"/>
  <c r="AC85" i="3"/>
  <c r="AC86" i="3"/>
  <c r="AC87" i="3"/>
  <c r="AC88" i="3"/>
  <c r="AC89" i="3"/>
  <c r="AC91" i="3"/>
  <c r="AC92" i="3"/>
  <c r="AC93" i="3"/>
  <c r="AC94" i="3"/>
  <c r="AC95" i="3"/>
  <c r="AC96" i="3"/>
  <c r="AC97" i="3"/>
  <c r="AC99" i="3"/>
  <c r="AC100" i="3"/>
  <c r="AC101" i="3"/>
  <c r="AC102" i="3"/>
  <c r="AC103" i="3"/>
  <c r="AC104" i="3"/>
  <c r="AC105" i="3"/>
  <c r="AC107" i="3"/>
  <c r="AC108" i="3"/>
  <c r="AC109" i="3"/>
  <c r="AC110" i="3"/>
  <c r="AC111" i="3"/>
  <c r="AC112" i="3"/>
  <c r="AC113" i="3"/>
  <c r="AC115" i="3"/>
  <c r="AC116" i="3"/>
  <c r="AC117" i="3"/>
  <c r="AC118" i="3"/>
  <c r="AC119" i="3"/>
  <c r="AC120" i="3"/>
  <c r="AC121" i="3"/>
  <c r="AC123" i="3"/>
  <c r="AC124" i="3"/>
  <c r="AC125" i="3"/>
  <c r="AC126" i="3"/>
  <c r="AC127" i="3"/>
  <c r="AC128" i="3"/>
  <c r="AC129" i="3"/>
  <c r="AC131" i="3"/>
  <c r="AC132" i="3"/>
  <c r="AC133" i="3"/>
  <c r="AC134" i="3"/>
  <c r="AC135" i="3"/>
  <c r="AC136" i="3"/>
  <c r="AC137" i="3"/>
  <c r="AC139" i="3"/>
  <c r="AC140" i="3"/>
  <c r="AC141" i="3"/>
  <c r="AC142" i="3"/>
  <c r="AC143" i="3"/>
  <c r="AC144" i="3"/>
  <c r="AC145" i="3"/>
  <c r="AC147" i="3"/>
  <c r="AC148" i="3"/>
  <c r="AC149" i="3"/>
  <c r="AC150" i="3"/>
  <c r="AC151" i="3"/>
  <c r="AC152" i="3"/>
  <c r="AC153" i="3"/>
  <c r="AC155" i="3"/>
  <c r="AC156" i="3"/>
  <c r="AC157" i="3"/>
  <c r="AC158" i="3"/>
  <c r="AC159" i="3"/>
  <c r="AC160" i="3"/>
  <c r="AC161" i="3"/>
  <c r="AC163" i="3"/>
  <c r="AC164" i="3"/>
  <c r="AC165" i="3"/>
  <c r="AC166" i="3"/>
  <c r="AC167" i="3"/>
  <c r="AC168" i="3"/>
  <c r="AC169" i="3"/>
  <c r="AC171" i="3"/>
  <c r="AC172" i="3"/>
  <c r="AC173" i="3"/>
  <c r="AC174" i="3"/>
  <c r="AC175" i="3"/>
  <c r="AC177" i="3"/>
  <c r="AC179" i="3"/>
  <c r="AC180" i="3"/>
  <c r="AC181" i="3"/>
  <c r="AC182" i="3"/>
  <c r="AC183" i="3"/>
  <c r="AC185" i="3"/>
  <c r="AC187" i="3"/>
  <c r="AC188" i="3"/>
  <c r="AC189" i="3"/>
  <c r="AC190" i="3"/>
  <c r="AC191" i="3"/>
  <c r="AC193" i="3"/>
  <c r="AC195" i="3"/>
  <c r="AC196" i="3"/>
  <c r="AC197" i="3"/>
  <c r="AC198" i="3"/>
  <c r="AC201" i="3"/>
  <c r="AC203" i="3"/>
  <c r="AC204" i="3"/>
  <c r="AC205" i="3"/>
  <c r="AC206" i="3"/>
  <c r="AC209" i="3"/>
  <c r="AC211" i="3"/>
  <c r="AC212" i="3"/>
  <c r="AC213" i="3"/>
  <c r="AC214" i="3"/>
  <c r="AC217" i="3"/>
  <c r="AC219" i="3"/>
  <c r="AC220" i="3"/>
  <c r="AC221" i="3"/>
  <c r="AC222" i="3"/>
  <c r="AC225" i="3"/>
  <c r="AC227" i="3"/>
  <c r="AC228" i="3"/>
  <c r="AC229" i="3"/>
  <c r="AC230" i="3"/>
  <c r="X3" i="3"/>
  <c r="W2" i="3"/>
  <c r="X2" i="3" s="1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U2" i="3"/>
  <c r="AS2" i="3"/>
  <c r="AR2" i="3"/>
  <c r="AQ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V2" i="3"/>
  <c r="U2" i="3"/>
  <c r="T2" i="3"/>
  <c r="S2" i="3"/>
  <c r="R2" i="3"/>
  <c r="Q2" i="3"/>
  <c r="P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J108" i="3"/>
  <c r="J109" i="3"/>
  <c r="J110" i="3"/>
  <c r="J111" i="3"/>
  <c r="J112" i="3"/>
  <c r="J113" i="3"/>
  <c r="J114" i="3"/>
  <c r="J115" i="3"/>
  <c r="J116" i="3"/>
  <c r="J117" i="3"/>
  <c r="J119" i="3"/>
  <c r="J121" i="3"/>
  <c r="J122" i="3"/>
  <c r="J123" i="3"/>
  <c r="J124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7" i="3"/>
  <c r="J148" i="3"/>
  <c r="J149" i="3"/>
  <c r="J150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9" i="3"/>
  <c r="J180" i="3"/>
  <c r="J181" i="3"/>
  <c r="J182" i="3"/>
  <c r="J183" i="3"/>
  <c r="J184" i="3"/>
  <c r="J186" i="3"/>
  <c r="J187" i="3"/>
  <c r="J188" i="3"/>
  <c r="J189" i="3"/>
  <c r="J190" i="3"/>
  <c r="J191" i="3"/>
  <c r="J192" i="3"/>
  <c r="J193" i="3"/>
  <c r="J194" i="3"/>
  <c r="J195" i="3"/>
  <c r="J196" i="3"/>
  <c r="J198" i="3"/>
  <c r="J199" i="3"/>
  <c r="J201" i="3"/>
  <c r="J202" i="3"/>
  <c r="J203" i="3"/>
  <c r="J204" i="3"/>
  <c r="J205" i="3"/>
  <c r="J206" i="3"/>
  <c r="J207" i="3"/>
  <c r="J208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3" i="3"/>
  <c r="J6" i="3"/>
  <c r="J7" i="3"/>
  <c r="J8" i="3"/>
  <c r="J9" i="3"/>
  <c r="J11" i="3"/>
  <c r="J12" i="3"/>
  <c r="J13" i="3"/>
  <c r="J14" i="3"/>
  <c r="J15" i="3"/>
  <c r="J17" i="3"/>
  <c r="J19" i="3"/>
  <c r="J20" i="3"/>
  <c r="J21" i="3"/>
  <c r="J22" i="3"/>
  <c r="J23" i="3"/>
  <c r="J24" i="3"/>
  <c r="J26" i="3"/>
  <c r="J27" i="3"/>
  <c r="J28" i="3"/>
  <c r="J30" i="3"/>
  <c r="J31" i="3"/>
  <c r="J32" i="3"/>
  <c r="J33" i="3"/>
  <c r="J34" i="3"/>
  <c r="J36" i="3"/>
  <c r="J37" i="3"/>
  <c r="J39" i="3"/>
  <c r="J40" i="3"/>
  <c r="J41" i="3"/>
  <c r="J43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61" i="3"/>
  <c r="J62" i="3"/>
  <c r="J63" i="3"/>
  <c r="J64" i="3"/>
  <c r="J65" i="3"/>
  <c r="J66" i="3"/>
  <c r="J68" i="3"/>
  <c r="J69" i="3"/>
  <c r="J70" i="3"/>
  <c r="J71" i="3"/>
  <c r="J72" i="3"/>
  <c r="J73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6" i="3"/>
  <c r="J97" i="3"/>
  <c r="J98" i="3"/>
  <c r="J99" i="3"/>
  <c r="J100" i="3"/>
  <c r="J101" i="3"/>
  <c r="J102" i="3"/>
  <c r="J103" i="3"/>
  <c r="J104" i="3"/>
  <c r="J105" i="3"/>
  <c r="J106" i="3"/>
  <c r="J107" i="3"/>
  <c r="J2" i="3"/>
  <c r="AJ3" i="3"/>
  <c r="AK3" i="3"/>
  <c r="AL3" i="3"/>
  <c r="AM3" i="3"/>
  <c r="AN3" i="3"/>
  <c r="AO3" i="3"/>
  <c r="AJ4" i="3"/>
  <c r="AK4" i="3"/>
  <c r="AL4" i="3"/>
  <c r="AM4" i="3"/>
  <c r="AN4" i="3"/>
  <c r="AO4" i="3"/>
  <c r="AJ5" i="3"/>
  <c r="AK5" i="3"/>
  <c r="AL5" i="3"/>
  <c r="AM5" i="3"/>
  <c r="AN5" i="3"/>
  <c r="AO5" i="3"/>
  <c r="AJ6" i="3"/>
  <c r="AK6" i="3"/>
  <c r="AL6" i="3"/>
  <c r="AM6" i="3"/>
  <c r="AN6" i="3"/>
  <c r="AO6" i="3"/>
  <c r="AJ7" i="3"/>
  <c r="AK7" i="3"/>
  <c r="AL7" i="3"/>
  <c r="AM7" i="3"/>
  <c r="AN7" i="3"/>
  <c r="AO7" i="3"/>
  <c r="AJ8" i="3"/>
  <c r="AK8" i="3"/>
  <c r="AL8" i="3"/>
  <c r="AM8" i="3"/>
  <c r="AN8" i="3"/>
  <c r="AO8" i="3"/>
  <c r="AJ9" i="3"/>
  <c r="AK9" i="3"/>
  <c r="AL9" i="3"/>
  <c r="AM9" i="3"/>
  <c r="AN9" i="3"/>
  <c r="AO9" i="3"/>
  <c r="AJ10" i="3"/>
  <c r="AK10" i="3"/>
  <c r="AL10" i="3"/>
  <c r="AM10" i="3"/>
  <c r="AN10" i="3"/>
  <c r="AO10" i="3"/>
  <c r="AJ11" i="3"/>
  <c r="AK11" i="3"/>
  <c r="AL11" i="3"/>
  <c r="AM11" i="3"/>
  <c r="AN11" i="3"/>
  <c r="AO11" i="3"/>
  <c r="AJ12" i="3"/>
  <c r="AK12" i="3"/>
  <c r="AL12" i="3"/>
  <c r="AM12" i="3"/>
  <c r="AN12" i="3"/>
  <c r="AO12" i="3"/>
  <c r="AJ13" i="3"/>
  <c r="AK13" i="3"/>
  <c r="AL13" i="3"/>
  <c r="AM13" i="3"/>
  <c r="AN13" i="3"/>
  <c r="AO13" i="3"/>
  <c r="AJ14" i="3"/>
  <c r="AK14" i="3"/>
  <c r="AL14" i="3"/>
  <c r="AM14" i="3"/>
  <c r="AN14" i="3"/>
  <c r="AO14" i="3"/>
  <c r="AJ15" i="3"/>
  <c r="AK15" i="3"/>
  <c r="AL15" i="3"/>
  <c r="AM15" i="3"/>
  <c r="AN15" i="3"/>
  <c r="AO15" i="3"/>
  <c r="AJ16" i="3"/>
  <c r="AK16" i="3"/>
  <c r="AL16" i="3"/>
  <c r="AM16" i="3"/>
  <c r="AN16" i="3"/>
  <c r="AO16" i="3"/>
  <c r="AJ17" i="3"/>
  <c r="AK17" i="3"/>
  <c r="AL17" i="3"/>
  <c r="AM17" i="3"/>
  <c r="AN17" i="3"/>
  <c r="AO17" i="3"/>
  <c r="AJ18" i="3"/>
  <c r="AK18" i="3"/>
  <c r="AL18" i="3"/>
  <c r="AM18" i="3"/>
  <c r="AN18" i="3"/>
  <c r="AO18" i="3"/>
  <c r="AJ19" i="3"/>
  <c r="AK19" i="3"/>
  <c r="AL19" i="3"/>
  <c r="AM19" i="3"/>
  <c r="AN19" i="3"/>
  <c r="AO19" i="3"/>
  <c r="AJ20" i="3"/>
  <c r="AK20" i="3"/>
  <c r="AL20" i="3"/>
  <c r="AM20" i="3"/>
  <c r="AN20" i="3"/>
  <c r="AO20" i="3"/>
  <c r="AJ21" i="3"/>
  <c r="AK21" i="3"/>
  <c r="AL21" i="3"/>
  <c r="AM21" i="3"/>
  <c r="AN21" i="3"/>
  <c r="AO21" i="3"/>
  <c r="AJ22" i="3"/>
  <c r="AK22" i="3"/>
  <c r="AL22" i="3"/>
  <c r="AM22" i="3"/>
  <c r="AN22" i="3"/>
  <c r="AO22" i="3"/>
  <c r="AJ23" i="3"/>
  <c r="AK23" i="3"/>
  <c r="AL23" i="3"/>
  <c r="AM23" i="3"/>
  <c r="AN23" i="3"/>
  <c r="AO23" i="3"/>
  <c r="AJ24" i="3"/>
  <c r="AK24" i="3"/>
  <c r="AL24" i="3"/>
  <c r="AM24" i="3"/>
  <c r="AN24" i="3"/>
  <c r="AO24" i="3"/>
  <c r="AJ25" i="3"/>
  <c r="AK25" i="3"/>
  <c r="AL25" i="3"/>
  <c r="AM25" i="3"/>
  <c r="AN25" i="3"/>
  <c r="AO25" i="3"/>
  <c r="AJ26" i="3"/>
  <c r="AK26" i="3"/>
  <c r="AL26" i="3"/>
  <c r="AM26" i="3"/>
  <c r="AN26" i="3"/>
  <c r="AO26" i="3"/>
  <c r="AJ27" i="3"/>
  <c r="AK27" i="3"/>
  <c r="AL27" i="3"/>
  <c r="AM27" i="3"/>
  <c r="AN27" i="3"/>
  <c r="AO27" i="3"/>
  <c r="AJ28" i="3"/>
  <c r="AK28" i="3"/>
  <c r="AL28" i="3"/>
  <c r="AM28" i="3"/>
  <c r="AN28" i="3"/>
  <c r="AO28" i="3"/>
  <c r="AJ29" i="3"/>
  <c r="AK29" i="3"/>
  <c r="AL29" i="3"/>
  <c r="AM29" i="3"/>
  <c r="AN29" i="3"/>
  <c r="AO29" i="3"/>
  <c r="AJ30" i="3"/>
  <c r="AK30" i="3"/>
  <c r="AL30" i="3"/>
  <c r="AM30" i="3"/>
  <c r="AN30" i="3"/>
  <c r="AO30" i="3"/>
  <c r="AJ31" i="3"/>
  <c r="AK31" i="3"/>
  <c r="AL31" i="3"/>
  <c r="AM31" i="3"/>
  <c r="AN31" i="3"/>
  <c r="AO31" i="3"/>
  <c r="AJ32" i="3"/>
  <c r="AK32" i="3"/>
  <c r="AL32" i="3"/>
  <c r="AM32" i="3"/>
  <c r="AN32" i="3"/>
  <c r="AO32" i="3"/>
  <c r="AJ33" i="3"/>
  <c r="AK33" i="3"/>
  <c r="AL33" i="3"/>
  <c r="AM33" i="3"/>
  <c r="AN33" i="3"/>
  <c r="AO33" i="3"/>
  <c r="AJ34" i="3"/>
  <c r="AK34" i="3"/>
  <c r="AL34" i="3"/>
  <c r="AM34" i="3"/>
  <c r="AN34" i="3"/>
  <c r="AO34" i="3"/>
  <c r="AJ35" i="3"/>
  <c r="AK35" i="3"/>
  <c r="AL35" i="3"/>
  <c r="AM35" i="3"/>
  <c r="AN35" i="3"/>
  <c r="AO35" i="3"/>
  <c r="AJ36" i="3"/>
  <c r="AK36" i="3"/>
  <c r="AL36" i="3"/>
  <c r="AM36" i="3"/>
  <c r="AN36" i="3"/>
  <c r="AO36" i="3"/>
  <c r="AJ37" i="3"/>
  <c r="AK37" i="3"/>
  <c r="AL37" i="3"/>
  <c r="AM37" i="3"/>
  <c r="AN37" i="3"/>
  <c r="AO37" i="3"/>
  <c r="AJ38" i="3"/>
  <c r="AK38" i="3"/>
  <c r="AL38" i="3"/>
  <c r="AM38" i="3"/>
  <c r="AN38" i="3"/>
  <c r="AO38" i="3"/>
  <c r="AJ39" i="3"/>
  <c r="AK39" i="3"/>
  <c r="AL39" i="3"/>
  <c r="AM39" i="3"/>
  <c r="AN39" i="3"/>
  <c r="AO39" i="3"/>
  <c r="AJ40" i="3"/>
  <c r="AK40" i="3"/>
  <c r="AL40" i="3"/>
  <c r="AM40" i="3"/>
  <c r="AN40" i="3"/>
  <c r="AO40" i="3"/>
  <c r="AJ41" i="3"/>
  <c r="AK41" i="3"/>
  <c r="AL41" i="3"/>
  <c r="AM41" i="3"/>
  <c r="AN41" i="3"/>
  <c r="AO41" i="3"/>
  <c r="AJ42" i="3"/>
  <c r="AK42" i="3"/>
  <c r="AL42" i="3"/>
  <c r="AM42" i="3"/>
  <c r="AN42" i="3"/>
  <c r="AO42" i="3"/>
  <c r="AJ43" i="3"/>
  <c r="AK43" i="3"/>
  <c r="AL43" i="3"/>
  <c r="AM43" i="3"/>
  <c r="AN43" i="3"/>
  <c r="AO43" i="3"/>
  <c r="AJ44" i="3"/>
  <c r="AK44" i="3"/>
  <c r="AL44" i="3"/>
  <c r="AM44" i="3"/>
  <c r="AN44" i="3"/>
  <c r="AO44" i="3"/>
  <c r="AJ45" i="3"/>
  <c r="AK45" i="3"/>
  <c r="AL45" i="3"/>
  <c r="AM45" i="3"/>
  <c r="AN45" i="3"/>
  <c r="AO45" i="3"/>
  <c r="AJ46" i="3"/>
  <c r="AK46" i="3"/>
  <c r="AL46" i="3"/>
  <c r="AM46" i="3"/>
  <c r="AN46" i="3"/>
  <c r="AO46" i="3"/>
  <c r="AJ47" i="3"/>
  <c r="AK47" i="3"/>
  <c r="AL47" i="3"/>
  <c r="AM47" i="3"/>
  <c r="AN47" i="3"/>
  <c r="AO47" i="3"/>
  <c r="AJ48" i="3"/>
  <c r="AK48" i="3"/>
  <c r="AL48" i="3"/>
  <c r="AM48" i="3"/>
  <c r="AN48" i="3"/>
  <c r="AO48" i="3"/>
  <c r="AJ49" i="3"/>
  <c r="AK49" i="3"/>
  <c r="AL49" i="3"/>
  <c r="AM49" i="3"/>
  <c r="AN49" i="3"/>
  <c r="AO49" i="3"/>
  <c r="AJ50" i="3"/>
  <c r="AK50" i="3"/>
  <c r="AL50" i="3"/>
  <c r="AM50" i="3"/>
  <c r="AN50" i="3"/>
  <c r="AO50" i="3"/>
  <c r="AJ51" i="3"/>
  <c r="AK51" i="3"/>
  <c r="AL51" i="3"/>
  <c r="AM51" i="3"/>
  <c r="AN51" i="3"/>
  <c r="AO51" i="3"/>
  <c r="AJ52" i="3"/>
  <c r="AK52" i="3"/>
  <c r="AL52" i="3"/>
  <c r="AM52" i="3"/>
  <c r="AN52" i="3"/>
  <c r="AO52" i="3"/>
  <c r="AJ53" i="3"/>
  <c r="AK53" i="3"/>
  <c r="AL53" i="3"/>
  <c r="AM53" i="3"/>
  <c r="AN53" i="3"/>
  <c r="AO53" i="3"/>
  <c r="AJ54" i="3"/>
  <c r="AK54" i="3"/>
  <c r="AL54" i="3"/>
  <c r="AM54" i="3"/>
  <c r="AN54" i="3"/>
  <c r="AO54" i="3"/>
  <c r="AJ55" i="3"/>
  <c r="AK55" i="3"/>
  <c r="AL55" i="3"/>
  <c r="AM55" i="3"/>
  <c r="AN55" i="3"/>
  <c r="AO55" i="3"/>
  <c r="AJ56" i="3"/>
  <c r="AK56" i="3"/>
  <c r="AL56" i="3"/>
  <c r="AM56" i="3"/>
  <c r="AN56" i="3"/>
  <c r="AO56" i="3"/>
  <c r="AJ57" i="3"/>
  <c r="AK57" i="3"/>
  <c r="AL57" i="3"/>
  <c r="AM57" i="3"/>
  <c r="AN57" i="3"/>
  <c r="AO57" i="3"/>
  <c r="AJ58" i="3"/>
  <c r="AK58" i="3"/>
  <c r="AL58" i="3"/>
  <c r="AM58" i="3"/>
  <c r="AN58" i="3"/>
  <c r="AO58" i="3"/>
  <c r="AJ59" i="3"/>
  <c r="AK59" i="3"/>
  <c r="AL59" i="3"/>
  <c r="AM59" i="3"/>
  <c r="AN59" i="3"/>
  <c r="AO59" i="3"/>
  <c r="AJ60" i="3"/>
  <c r="AK60" i="3"/>
  <c r="AL60" i="3"/>
  <c r="AM60" i="3"/>
  <c r="AN60" i="3"/>
  <c r="AO60" i="3"/>
  <c r="AJ61" i="3"/>
  <c r="AK61" i="3"/>
  <c r="AL61" i="3"/>
  <c r="AM61" i="3"/>
  <c r="AN61" i="3"/>
  <c r="AO61" i="3"/>
  <c r="AJ62" i="3"/>
  <c r="AK62" i="3"/>
  <c r="AL62" i="3"/>
  <c r="AM62" i="3"/>
  <c r="AN62" i="3"/>
  <c r="AO62" i="3"/>
  <c r="AJ63" i="3"/>
  <c r="AK63" i="3"/>
  <c r="AL63" i="3"/>
  <c r="AM63" i="3"/>
  <c r="AN63" i="3"/>
  <c r="AO63" i="3"/>
  <c r="AJ64" i="3"/>
  <c r="AK64" i="3"/>
  <c r="AL64" i="3"/>
  <c r="AM64" i="3"/>
  <c r="AN64" i="3"/>
  <c r="AO64" i="3"/>
  <c r="AJ65" i="3"/>
  <c r="AK65" i="3"/>
  <c r="AL65" i="3"/>
  <c r="AM65" i="3"/>
  <c r="AN65" i="3"/>
  <c r="AO65" i="3"/>
  <c r="AJ66" i="3"/>
  <c r="AK66" i="3"/>
  <c r="AL66" i="3"/>
  <c r="AM66" i="3"/>
  <c r="AN66" i="3"/>
  <c r="AO66" i="3"/>
  <c r="AJ67" i="3"/>
  <c r="AK67" i="3"/>
  <c r="AL67" i="3"/>
  <c r="AM67" i="3"/>
  <c r="AN67" i="3"/>
  <c r="AO67" i="3"/>
  <c r="AJ68" i="3"/>
  <c r="AK68" i="3"/>
  <c r="AL68" i="3"/>
  <c r="AM68" i="3"/>
  <c r="AN68" i="3"/>
  <c r="AO68" i="3"/>
  <c r="AJ69" i="3"/>
  <c r="AK69" i="3"/>
  <c r="AL69" i="3"/>
  <c r="AM69" i="3"/>
  <c r="AN69" i="3"/>
  <c r="AO69" i="3"/>
  <c r="AJ70" i="3"/>
  <c r="AK70" i="3"/>
  <c r="AL70" i="3"/>
  <c r="AM70" i="3"/>
  <c r="AN70" i="3"/>
  <c r="AO70" i="3"/>
  <c r="AJ71" i="3"/>
  <c r="AK71" i="3"/>
  <c r="AL71" i="3"/>
  <c r="AM71" i="3"/>
  <c r="AN71" i="3"/>
  <c r="AO71" i="3"/>
  <c r="AJ72" i="3"/>
  <c r="AK72" i="3"/>
  <c r="AL72" i="3"/>
  <c r="AM72" i="3"/>
  <c r="AN72" i="3"/>
  <c r="AO72" i="3"/>
  <c r="AJ73" i="3"/>
  <c r="AK73" i="3"/>
  <c r="AL73" i="3"/>
  <c r="AM73" i="3"/>
  <c r="AN73" i="3"/>
  <c r="AO73" i="3"/>
  <c r="AJ74" i="3"/>
  <c r="AK74" i="3"/>
  <c r="AL74" i="3"/>
  <c r="AM74" i="3"/>
  <c r="AN74" i="3"/>
  <c r="AO74" i="3"/>
  <c r="AJ75" i="3"/>
  <c r="AK75" i="3"/>
  <c r="AL75" i="3"/>
  <c r="AM75" i="3"/>
  <c r="AN75" i="3"/>
  <c r="AO75" i="3"/>
  <c r="AJ76" i="3"/>
  <c r="AK76" i="3"/>
  <c r="AL76" i="3"/>
  <c r="AM76" i="3"/>
  <c r="AN76" i="3"/>
  <c r="AO76" i="3"/>
  <c r="AJ77" i="3"/>
  <c r="AK77" i="3"/>
  <c r="AL77" i="3"/>
  <c r="AM77" i="3"/>
  <c r="AN77" i="3"/>
  <c r="AO77" i="3"/>
  <c r="AJ78" i="3"/>
  <c r="AK78" i="3"/>
  <c r="AL78" i="3"/>
  <c r="AM78" i="3"/>
  <c r="AN78" i="3"/>
  <c r="AO78" i="3"/>
  <c r="AJ79" i="3"/>
  <c r="AK79" i="3"/>
  <c r="AL79" i="3"/>
  <c r="AM79" i="3"/>
  <c r="AN79" i="3"/>
  <c r="AO79" i="3"/>
  <c r="AJ80" i="3"/>
  <c r="AK80" i="3"/>
  <c r="AL80" i="3"/>
  <c r="AM80" i="3"/>
  <c r="AN80" i="3"/>
  <c r="AO80" i="3"/>
  <c r="AJ81" i="3"/>
  <c r="AK81" i="3"/>
  <c r="AL81" i="3"/>
  <c r="AM81" i="3"/>
  <c r="AN81" i="3"/>
  <c r="AO81" i="3"/>
  <c r="AJ82" i="3"/>
  <c r="AK82" i="3"/>
  <c r="AL82" i="3"/>
  <c r="AM82" i="3"/>
  <c r="AN82" i="3"/>
  <c r="AO82" i="3"/>
  <c r="AJ83" i="3"/>
  <c r="AK83" i="3"/>
  <c r="AL83" i="3"/>
  <c r="AM83" i="3"/>
  <c r="AN83" i="3"/>
  <c r="AO83" i="3"/>
  <c r="AJ84" i="3"/>
  <c r="AK84" i="3"/>
  <c r="AL84" i="3"/>
  <c r="AM84" i="3"/>
  <c r="AN84" i="3"/>
  <c r="AO84" i="3"/>
  <c r="AJ85" i="3"/>
  <c r="AK85" i="3"/>
  <c r="AL85" i="3"/>
  <c r="AM85" i="3"/>
  <c r="AN85" i="3"/>
  <c r="AO85" i="3"/>
  <c r="AJ86" i="3"/>
  <c r="AK86" i="3"/>
  <c r="AL86" i="3"/>
  <c r="AM86" i="3"/>
  <c r="AN86" i="3"/>
  <c r="AO86" i="3"/>
  <c r="AJ87" i="3"/>
  <c r="AK87" i="3"/>
  <c r="AL87" i="3"/>
  <c r="AM87" i="3"/>
  <c r="AN87" i="3"/>
  <c r="AO87" i="3"/>
  <c r="AJ88" i="3"/>
  <c r="AK88" i="3"/>
  <c r="AL88" i="3"/>
  <c r="AM88" i="3"/>
  <c r="AN88" i="3"/>
  <c r="AO88" i="3"/>
  <c r="AJ89" i="3"/>
  <c r="AK89" i="3"/>
  <c r="AL89" i="3"/>
  <c r="AM89" i="3"/>
  <c r="AN89" i="3"/>
  <c r="AO89" i="3"/>
  <c r="AJ90" i="3"/>
  <c r="AK90" i="3"/>
  <c r="AL90" i="3"/>
  <c r="AM90" i="3"/>
  <c r="AN90" i="3"/>
  <c r="AO90" i="3"/>
  <c r="AJ91" i="3"/>
  <c r="AK91" i="3"/>
  <c r="AL91" i="3"/>
  <c r="AM91" i="3"/>
  <c r="AN91" i="3"/>
  <c r="AO91" i="3"/>
  <c r="AJ92" i="3"/>
  <c r="AK92" i="3"/>
  <c r="AL92" i="3"/>
  <c r="AM92" i="3"/>
  <c r="AN92" i="3"/>
  <c r="AO92" i="3"/>
  <c r="AJ93" i="3"/>
  <c r="AK93" i="3"/>
  <c r="AL93" i="3"/>
  <c r="AM93" i="3"/>
  <c r="AN93" i="3"/>
  <c r="AO93" i="3"/>
  <c r="AJ94" i="3"/>
  <c r="AK94" i="3"/>
  <c r="AL94" i="3"/>
  <c r="AM94" i="3"/>
  <c r="AN94" i="3"/>
  <c r="AO94" i="3"/>
  <c r="AJ95" i="3"/>
  <c r="AK95" i="3"/>
  <c r="AL95" i="3"/>
  <c r="AM95" i="3"/>
  <c r="AN95" i="3"/>
  <c r="AO95" i="3"/>
  <c r="AJ96" i="3"/>
  <c r="AK96" i="3"/>
  <c r="AL96" i="3"/>
  <c r="AM96" i="3"/>
  <c r="AN96" i="3"/>
  <c r="AO96" i="3"/>
  <c r="AJ97" i="3"/>
  <c r="AK97" i="3"/>
  <c r="AL97" i="3"/>
  <c r="AM97" i="3"/>
  <c r="AN97" i="3"/>
  <c r="AO97" i="3"/>
  <c r="AJ98" i="3"/>
  <c r="AK98" i="3"/>
  <c r="AL98" i="3"/>
  <c r="AM98" i="3"/>
  <c r="AN98" i="3"/>
  <c r="AO98" i="3"/>
  <c r="AJ99" i="3"/>
  <c r="AK99" i="3"/>
  <c r="AL99" i="3"/>
  <c r="AM99" i="3"/>
  <c r="AN99" i="3"/>
  <c r="AO99" i="3"/>
  <c r="AJ100" i="3"/>
  <c r="AK100" i="3"/>
  <c r="AL100" i="3"/>
  <c r="AM100" i="3"/>
  <c r="AN100" i="3"/>
  <c r="AO100" i="3"/>
  <c r="AJ101" i="3"/>
  <c r="AK101" i="3"/>
  <c r="AL101" i="3"/>
  <c r="AM101" i="3"/>
  <c r="AN101" i="3"/>
  <c r="AO101" i="3"/>
  <c r="AJ102" i="3"/>
  <c r="AK102" i="3"/>
  <c r="AL102" i="3"/>
  <c r="AM102" i="3"/>
  <c r="AN102" i="3"/>
  <c r="AO102" i="3"/>
  <c r="AJ103" i="3"/>
  <c r="AK103" i="3"/>
  <c r="AL103" i="3"/>
  <c r="AM103" i="3"/>
  <c r="AN103" i="3"/>
  <c r="AO103" i="3"/>
  <c r="AJ104" i="3"/>
  <c r="AK104" i="3"/>
  <c r="AL104" i="3"/>
  <c r="AM104" i="3"/>
  <c r="AN104" i="3"/>
  <c r="AO104" i="3"/>
  <c r="AJ105" i="3"/>
  <c r="AK105" i="3"/>
  <c r="AL105" i="3"/>
  <c r="AM105" i="3"/>
  <c r="AN105" i="3"/>
  <c r="AO105" i="3"/>
  <c r="AJ106" i="3"/>
  <c r="AK106" i="3"/>
  <c r="AL106" i="3"/>
  <c r="AM106" i="3"/>
  <c r="AN106" i="3"/>
  <c r="AO106" i="3"/>
  <c r="AJ107" i="3"/>
  <c r="AK107" i="3"/>
  <c r="AL107" i="3"/>
  <c r="AM107" i="3"/>
  <c r="AN107" i="3"/>
  <c r="AO107" i="3"/>
  <c r="AJ108" i="3"/>
  <c r="AK108" i="3"/>
  <c r="AL108" i="3"/>
  <c r="AM108" i="3"/>
  <c r="AN108" i="3"/>
  <c r="AO108" i="3"/>
  <c r="AJ109" i="3"/>
  <c r="AK109" i="3"/>
  <c r="AL109" i="3"/>
  <c r="AM109" i="3"/>
  <c r="AN109" i="3"/>
  <c r="AO109" i="3"/>
  <c r="AJ110" i="3"/>
  <c r="AK110" i="3"/>
  <c r="AL110" i="3"/>
  <c r="AM110" i="3"/>
  <c r="AN110" i="3"/>
  <c r="AO110" i="3"/>
  <c r="AJ111" i="3"/>
  <c r="AK111" i="3"/>
  <c r="AL111" i="3"/>
  <c r="AM111" i="3"/>
  <c r="AN111" i="3"/>
  <c r="AO111" i="3"/>
  <c r="AJ112" i="3"/>
  <c r="AK112" i="3"/>
  <c r="AL112" i="3"/>
  <c r="AM112" i="3"/>
  <c r="AN112" i="3"/>
  <c r="AO112" i="3"/>
  <c r="AJ113" i="3"/>
  <c r="AK113" i="3"/>
  <c r="AL113" i="3"/>
  <c r="AM113" i="3"/>
  <c r="AN113" i="3"/>
  <c r="AO113" i="3"/>
  <c r="AJ114" i="3"/>
  <c r="AK114" i="3"/>
  <c r="AL114" i="3"/>
  <c r="AM114" i="3"/>
  <c r="AN114" i="3"/>
  <c r="AO114" i="3"/>
  <c r="AJ115" i="3"/>
  <c r="AK115" i="3"/>
  <c r="AL115" i="3"/>
  <c r="AM115" i="3"/>
  <c r="AN115" i="3"/>
  <c r="AO115" i="3"/>
  <c r="AJ116" i="3"/>
  <c r="AK116" i="3"/>
  <c r="AL116" i="3"/>
  <c r="AM116" i="3"/>
  <c r="AN116" i="3"/>
  <c r="AO116" i="3"/>
  <c r="AJ117" i="3"/>
  <c r="AK117" i="3"/>
  <c r="AL117" i="3"/>
  <c r="AM117" i="3"/>
  <c r="AN117" i="3"/>
  <c r="AO117" i="3"/>
  <c r="AJ118" i="3"/>
  <c r="AK118" i="3"/>
  <c r="AL118" i="3"/>
  <c r="AM118" i="3"/>
  <c r="AN118" i="3"/>
  <c r="AO118" i="3"/>
  <c r="AJ119" i="3"/>
  <c r="AK119" i="3"/>
  <c r="AL119" i="3"/>
  <c r="AM119" i="3"/>
  <c r="AN119" i="3"/>
  <c r="AO119" i="3"/>
  <c r="AJ120" i="3"/>
  <c r="AK120" i="3"/>
  <c r="AL120" i="3"/>
  <c r="AM120" i="3"/>
  <c r="AN120" i="3"/>
  <c r="AO120" i="3"/>
  <c r="AJ121" i="3"/>
  <c r="AK121" i="3"/>
  <c r="AL121" i="3"/>
  <c r="AM121" i="3"/>
  <c r="AN121" i="3"/>
  <c r="AO121" i="3"/>
  <c r="AJ122" i="3"/>
  <c r="AK122" i="3"/>
  <c r="AL122" i="3"/>
  <c r="AM122" i="3"/>
  <c r="AN122" i="3"/>
  <c r="AO122" i="3"/>
  <c r="AJ123" i="3"/>
  <c r="AK123" i="3"/>
  <c r="AL123" i="3"/>
  <c r="AM123" i="3"/>
  <c r="AN123" i="3"/>
  <c r="AO123" i="3"/>
  <c r="AJ124" i="3"/>
  <c r="AK124" i="3"/>
  <c r="AL124" i="3"/>
  <c r="AM124" i="3"/>
  <c r="AN124" i="3"/>
  <c r="AO124" i="3"/>
  <c r="AJ125" i="3"/>
  <c r="AK125" i="3"/>
  <c r="AL125" i="3"/>
  <c r="AM125" i="3"/>
  <c r="AN125" i="3"/>
  <c r="AO125" i="3"/>
  <c r="AJ126" i="3"/>
  <c r="AK126" i="3"/>
  <c r="AL126" i="3"/>
  <c r="AM126" i="3"/>
  <c r="AN126" i="3"/>
  <c r="AO126" i="3"/>
  <c r="AJ127" i="3"/>
  <c r="AK127" i="3"/>
  <c r="AL127" i="3"/>
  <c r="AM127" i="3"/>
  <c r="AN127" i="3"/>
  <c r="AO127" i="3"/>
  <c r="AJ128" i="3"/>
  <c r="AK128" i="3"/>
  <c r="AL128" i="3"/>
  <c r="AM128" i="3"/>
  <c r="AN128" i="3"/>
  <c r="AO128" i="3"/>
  <c r="AJ129" i="3"/>
  <c r="AK129" i="3"/>
  <c r="AL129" i="3"/>
  <c r="AM129" i="3"/>
  <c r="AN129" i="3"/>
  <c r="AO129" i="3"/>
  <c r="AJ130" i="3"/>
  <c r="AK130" i="3"/>
  <c r="AL130" i="3"/>
  <c r="AM130" i="3"/>
  <c r="AN130" i="3"/>
  <c r="AO130" i="3"/>
  <c r="AJ131" i="3"/>
  <c r="AK131" i="3"/>
  <c r="AL131" i="3"/>
  <c r="AM131" i="3"/>
  <c r="AN131" i="3"/>
  <c r="AO131" i="3"/>
  <c r="AJ132" i="3"/>
  <c r="AK132" i="3"/>
  <c r="AL132" i="3"/>
  <c r="AM132" i="3"/>
  <c r="AN132" i="3"/>
  <c r="AO132" i="3"/>
  <c r="AJ133" i="3"/>
  <c r="AK133" i="3"/>
  <c r="AL133" i="3"/>
  <c r="AM133" i="3"/>
  <c r="AN133" i="3"/>
  <c r="AO133" i="3"/>
  <c r="AJ134" i="3"/>
  <c r="AK134" i="3"/>
  <c r="AL134" i="3"/>
  <c r="AM134" i="3"/>
  <c r="AN134" i="3"/>
  <c r="AO134" i="3"/>
  <c r="AJ135" i="3"/>
  <c r="AK135" i="3"/>
  <c r="AL135" i="3"/>
  <c r="AM135" i="3"/>
  <c r="AN135" i="3"/>
  <c r="AO135" i="3"/>
  <c r="AJ136" i="3"/>
  <c r="AK136" i="3"/>
  <c r="AL136" i="3"/>
  <c r="AM136" i="3"/>
  <c r="AN136" i="3"/>
  <c r="AO136" i="3"/>
  <c r="AJ137" i="3"/>
  <c r="AK137" i="3"/>
  <c r="AL137" i="3"/>
  <c r="AM137" i="3"/>
  <c r="AN137" i="3"/>
  <c r="AO137" i="3"/>
  <c r="AJ138" i="3"/>
  <c r="AK138" i="3"/>
  <c r="AL138" i="3"/>
  <c r="AM138" i="3"/>
  <c r="AN138" i="3"/>
  <c r="AO138" i="3"/>
  <c r="AJ139" i="3"/>
  <c r="AK139" i="3"/>
  <c r="AL139" i="3"/>
  <c r="AM139" i="3"/>
  <c r="AN139" i="3"/>
  <c r="AO139" i="3"/>
  <c r="AJ140" i="3"/>
  <c r="AK140" i="3"/>
  <c r="AL140" i="3"/>
  <c r="AM140" i="3"/>
  <c r="AN140" i="3"/>
  <c r="AO140" i="3"/>
  <c r="AJ141" i="3"/>
  <c r="AK141" i="3"/>
  <c r="AL141" i="3"/>
  <c r="AM141" i="3"/>
  <c r="AN141" i="3"/>
  <c r="AO141" i="3"/>
  <c r="AJ142" i="3"/>
  <c r="AK142" i="3"/>
  <c r="AL142" i="3"/>
  <c r="AM142" i="3"/>
  <c r="AN142" i="3"/>
  <c r="AO142" i="3"/>
  <c r="AJ143" i="3"/>
  <c r="AK143" i="3"/>
  <c r="AL143" i="3"/>
  <c r="AM143" i="3"/>
  <c r="AN143" i="3"/>
  <c r="AO143" i="3"/>
  <c r="AJ144" i="3"/>
  <c r="AK144" i="3"/>
  <c r="AL144" i="3"/>
  <c r="AM144" i="3"/>
  <c r="AN144" i="3"/>
  <c r="AO144" i="3"/>
  <c r="AJ145" i="3"/>
  <c r="AK145" i="3"/>
  <c r="AL145" i="3"/>
  <c r="AM145" i="3"/>
  <c r="AN145" i="3"/>
  <c r="AO145" i="3"/>
  <c r="AJ146" i="3"/>
  <c r="AK146" i="3"/>
  <c r="AL146" i="3"/>
  <c r="AM146" i="3"/>
  <c r="AN146" i="3"/>
  <c r="AO146" i="3"/>
  <c r="AJ147" i="3"/>
  <c r="AK147" i="3"/>
  <c r="AL147" i="3"/>
  <c r="AM147" i="3"/>
  <c r="AN147" i="3"/>
  <c r="AO147" i="3"/>
  <c r="AJ148" i="3"/>
  <c r="AK148" i="3"/>
  <c r="AL148" i="3"/>
  <c r="AM148" i="3"/>
  <c r="AN148" i="3"/>
  <c r="AO148" i="3"/>
  <c r="AJ149" i="3"/>
  <c r="AK149" i="3"/>
  <c r="AL149" i="3"/>
  <c r="AM149" i="3"/>
  <c r="AN149" i="3"/>
  <c r="AO149" i="3"/>
  <c r="AJ150" i="3"/>
  <c r="AK150" i="3"/>
  <c r="AL150" i="3"/>
  <c r="AM150" i="3"/>
  <c r="AN150" i="3"/>
  <c r="AO150" i="3"/>
  <c r="AJ151" i="3"/>
  <c r="AK151" i="3"/>
  <c r="AL151" i="3"/>
  <c r="AM151" i="3"/>
  <c r="AN151" i="3"/>
  <c r="AO151" i="3"/>
  <c r="AJ152" i="3"/>
  <c r="AK152" i="3"/>
  <c r="AL152" i="3"/>
  <c r="AM152" i="3"/>
  <c r="AN152" i="3"/>
  <c r="AO152" i="3"/>
  <c r="AJ153" i="3"/>
  <c r="AK153" i="3"/>
  <c r="AL153" i="3"/>
  <c r="AM153" i="3"/>
  <c r="AN153" i="3"/>
  <c r="AO153" i="3"/>
  <c r="AJ154" i="3"/>
  <c r="AK154" i="3"/>
  <c r="AL154" i="3"/>
  <c r="AM154" i="3"/>
  <c r="AN154" i="3"/>
  <c r="AO154" i="3"/>
  <c r="AJ155" i="3"/>
  <c r="AK155" i="3"/>
  <c r="AL155" i="3"/>
  <c r="AM155" i="3"/>
  <c r="AN155" i="3"/>
  <c r="AO155" i="3"/>
  <c r="AJ156" i="3"/>
  <c r="AK156" i="3"/>
  <c r="AL156" i="3"/>
  <c r="AM156" i="3"/>
  <c r="AN156" i="3"/>
  <c r="AO156" i="3"/>
  <c r="AJ157" i="3"/>
  <c r="AK157" i="3"/>
  <c r="AL157" i="3"/>
  <c r="AM157" i="3"/>
  <c r="AN157" i="3"/>
  <c r="AO157" i="3"/>
  <c r="AJ158" i="3"/>
  <c r="AK158" i="3"/>
  <c r="AL158" i="3"/>
  <c r="AM158" i="3"/>
  <c r="AN158" i="3"/>
  <c r="AO158" i="3"/>
  <c r="AJ159" i="3"/>
  <c r="AK159" i="3"/>
  <c r="AL159" i="3"/>
  <c r="AM159" i="3"/>
  <c r="AN159" i="3"/>
  <c r="AO159" i="3"/>
  <c r="AJ160" i="3"/>
  <c r="AK160" i="3"/>
  <c r="AL160" i="3"/>
  <c r="AM160" i="3"/>
  <c r="AN160" i="3"/>
  <c r="AO160" i="3"/>
  <c r="AJ161" i="3"/>
  <c r="AK161" i="3"/>
  <c r="AL161" i="3"/>
  <c r="AM161" i="3"/>
  <c r="AN161" i="3"/>
  <c r="AO161" i="3"/>
  <c r="AJ162" i="3"/>
  <c r="AK162" i="3"/>
  <c r="AL162" i="3"/>
  <c r="AM162" i="3"/>
  <c r="AN162" i="3"/>
  <c r="AO162" i="3"/>
  <c r="AJ163" i="3"/>
  <c r="AK163" i="3"/>
  <c r="AL163" i="3"/>
  <c r="AM163" i="3"/>
  <c r="AN163" i="3"/>
  <c r="AO163" i="3"/>
  <c r="AJ164" i="3"/>
  <c r="AK164" i="3"/>
  <c r="AL164" i="3"/>
  <c r="AM164" i="3"/>
  <c r="AN164" i="3"/>
  <c r="AO164" i="3"/>
  <c r="AJ165" i="3"/>
  <c r="AK165" i="3"/>
  <c r="AL165" i="3"/>
  <c r="AM165" i="3"/>
  <c r="AN165" i="3"/>
  <c r="AO165" i="3"/>
  <c r="AJ166" i="3"/>
  <c r="AK166" i="3"/>
  <c r="AL166" i="3"/>
  <c r="AM166" i="3"/>
  <c r="AN166" i="3"/>
  <c r="AO166" i="3"/>
  <c r="AJ167" i="3"/>
  <c r="AK167" i="3"/>
  <c r="AL167" i="3"/>
  <c r="AM167" i="3"/>
  <c r="AN167" i="3"/>
  <c r="AO167" i="3"/>
  <c r="AJ168" i="3"/>
  <c r="AK168" i="3"/>
  <c r="AL168" i="3"/>
  <c r="AM168" i="3"/>
  <c r="AN168" i="3"/>
  <c r="AO168" i="3"/>
  <c r="AJ169" i="3"/>
  <c r="AK169" i="3"/>
  <c r="AL169" i="3"/>
  <c r="AM169" i="3"/>
  <c r="AN169" i="3"/>
  <c r="AO169" i="3"/>
  <c r="AJ170" i="3"/>
  <c r="AK170" i="3"/>
  <c r="AL170" i="3"/>
  <c r="AM170" i="3"/>
  <c r="AN170" i="3"/>
  <c r="AO170" i="3"/>
  <c r="AJ171" i="3"/>
  <c r="AK171" i="3"/>
  <c r="AL171" i="3"/>
  <c r="AM171" i="3"/>
  <c r="AN171" i="3"/>
  <c r="AO171" i="3"/>
  <c r="AJ172" i="3"/>
  <c r="AK172" i="3"/>
  <c r="AL172" i="3"/>
  <c r="AM172" i="3"/>
  <c r="AN172" i="3"/>
  <c r="AO172" i="3"/>
  <c r="AJ173" i="3"/>
  <c r="AK173" i="3"/>
  <c r="AL173" i="3"/>
  <c r="AM173" i="3"/>
  <c r="AN173" i="3"/>
  <c r="AO173" i="3"/>
  <c r="AJ174" i="3"/>
  <c r="AK174" i="3"/>
  <c r="AL174" i="3"/>
  <c r="AM174" i="3"/>
  <c r="AN174" i="3"/>
  <c r="AO174" i="3"/>
  <c r="AJ175" i="3"/>
  <c r="AK175" i="3"/>
  <c r="AL175" i="3"/>
  <c r="AM175" i="3"/>
  <c r="AN175" i="3"/>
  <c r="AO175" i="3"/>
  <c r="AJ176" i="3"/>
  <c r="AK176" i="3"/>
  <c r="AL176" i="3"/>
  <c r="AM176" i="3"/>
  <c r="AN176" i="3"/>
  <c r="AO176" i="3"/>
  <c r="AJ177" i="3"/>
  <c r="AK177" i="3"/>
  <c r="AL177" i="3"/>
  <c r="AM177" i="3"/>
  <c r="AN177" i="3"/>
  <c r="AO177" i="3"/>
  <c r="AJ178" i="3"/>
  <c r="AK178" i="3"/>
  <c r="AL178" i="3"/>
  <c r="AM178" i="3"/>
  <c r="AN178" i="3"/>
  <c r="AO178" i="3"/>
  <c r="AJ179" i="3"/>
  <c r="AK179" i="3"/>
  <c r="AL179" i="3"/>
  <c r="AM179" i="3"/>
  <c r="AN179" i="3"/>
  <c r="AO179" i="3"/>
  <c r="AJ180" i="3"/>
  <c r="AK180" i="3"/>
  <c r="AL180" i="3"/>
  <c r="AM180" i="3"/>
  <c r="AN180" i="3"/>
  <c r="AO180" i="3"/>
  <c r="AJ181" i="3"/>
  <c r="AK181" i="3"/>
  <c r="AL181" i="3"/>
  <c r="AM181" i="3"/>
  <c r="AN181" i="3"/>
  <c r="AO181" i="3"/>
  <c r="AJ182" i="3"/>
  <c r="AK182" i="3"/>
  <c r="AL182" i="3"/>
  <c r="AM182" i="3"/>
  <c r="AN182" i="3"/>
  <c r="AO182" i="3"/>
  <c r="AJ183" i="3"/>
  <c r="AK183" i="3"/>
  <c r="AL183" i="3"/>
  <c r="AM183" i="3"/>
  <c r="AN183" i="3"/>
  <c r="AO183" i="3"/>
  <c r="AJ184" i="3"/>
  <c r="AK184" i="3"/>
  <c r="AL184" i="3"/>
  <c r="AM184" i="3"/>
  <c r="AN184" i="3"/>
  <c r="AO184" i="3"/>
  <c r="AJ185" i="3"/>
  <c r="AK185" i="3"/>
  <c r="AL185" i="3"/>
  <c r="AM185" i="3"/>
  <c r="AN185" i="3"/>
  <c r="AO185" i="3"/>
  <c r="AJ186" i="3"/>
  <c r="AK186" i="3"/>
  <c r="AL186" i="3"/>
  <c r="AM186" i="3"/>
  <c r="AN186" i="3"/>
  <c r="AO186" i="3"/>
  <c r="AJ187" i="3"/>
  <c r="AK187" i="3"/>
  <c r="AL187" i="3"/>
  <c r="AM187" i="3"/>
  <c r="AN187" i="3"/>
  <c r="AO187" i="3"/>
  <c r="AJ188" i="3"/>
  <c r="AK188" i="3"/>
  <c r="AL188" i="3"/>
  <c r="AM188" i="3"/>
  <c r="AN188" i="3"/>
  <c r="AO188" i="3"/>
  <c r="AJ189" i="3"/>
  <c r="AK189" i="3"/>
  <c r="AL189" i="3"/>
  <c r="AM189" i="3"/>
  <c r="AN189" i="3"/>
  <c r="AO189" i="3"/>
  <c r="AJ190" i="3"/>
  <c r="AK190" i="3"/>
  <c r="AL190" i="3"/>
  <c r="AM190" i="3"/>
  <c r="AN190" i="3"/>
  <c r="AO190" i="3"/>
  <c r="AJ191" i="3"/>
  <c r="AK191" i="3"/>
  <c r="AL191" i="3"/>
  <c r="AM191" i="3"/>
  <c r="AN191" i="3"/>
  <c r="AO191" i="3"/>
  <c r="AJ192" i="3"/>
  <c r="AK192" i="3"/>
  <c r="AL192" i="3"/>
  <c r="AM192" i="3"/>
  <c r="AN192" i="3"/>
  <c r="AO192" i="3"/>
  <c r="AJ193" i="3"/>
  <c r="AK193" i="3"/>
  <c r="AL193" i="3"/>
  <c r="AM193" i="3"/>
  <c r="AN193" i="3"/>
  <c r="AO193" i="3"/>
  <c r="AJ194" i="3"/>
  <c r="AK194" i="3"/>
  <c r="AL194" i="3"/>
  <c r="AM194" i="3"/>
  <c r="AN194" i="3"/>
  <c r="AO194" i="3"/>
  <c r="AJ195" i="3"/>
  <c r="AK195" i="3"/>
  <c r="AL195" i="3"/>
  <c r="AM195" i="3"/>
  <c r="AN195" i="3"/>
  <c r="AO195" i="3"/>
  <c r="AJ196" i="3"/>
  <c r="AK196" i="3"/>
  <c r="AL196" i="3"/>
  <c r="AM196" i="3"/>
  <c r="AN196" i="3"/>
  <c r="AO196" i="3"/>
  <c r="AJ197" i="3"/>
  <c r="AK197" i="3"/>
  <c r="AL197" i="3"/>
  <c r="AM197" i="3"/>
  <c r="AN197" i="3"/>
  <c r="AO197" i="3"/>
  <c r="AJ198" i="3"/>
  <c r="AK198" i="3"/>
  <c r="AL198" i="3"/>
  <c r="AM198" i="3"/>
  <c r="AN198" i="3"/>
  <c r="AO198" i="3"/>
  <c r="AJ199" i="3"/>
  <c r="AK199" i="3"/>
  <c r="AL199" i="3"/>
  <c r="AM199" i="3"/>
  <c r="AN199" i="3"/>
  <c r="AO199" i="3"/>
  <c r="AJ200" i="3"/>
  <c r="AK200" i="3"/>
  <c r="AL200" i="3"/>
  <c r="AM200" i="3"/>
  <c r="AN200" i="3"/>
  <c r="AO200" i="3"/>
  <c r="AJ201" i="3"/>
  <c r="AK201" i="3"/>
  <c r="AL201" i="3"/>
  <c r="AM201" i="3"/>
  <c r="AN201" i="3"/>
  <c r="AO201" i="3"/>
  <c r="AJ202" i="3"/>
  <c r="AK202" i="3"/>
  <c r="AL202" i="3"/>
  <c r="AM202" i="3"/>
  <c r="AN202" i="3"/>
  <c r="AO202" i="3"/>
  <c r="AJ203" i="3"/>
  <c r="AK203" i="3"/>
  <c r="AL203" i="3"/>
  <c r="AM203" i="3"/>
  <c r="AN203" i="3"/>
  <c r="AO203" i="3"/>
  <c r="AJ204" i="3"/>
  <c r="AK204" i="3"/>
  <c r="AL204" i="3"/>
  <c r="AM204" i="3"/>
  <c r="AN204" i="3"/>
  <c r="AO204" i="3"/>
  <c r="AJ205" i="3"/>
  <c r="AK205" i="3"/>
  <c r="AL205" i="3"/>
  <c r="AM205" i="3"/>
  <c r="AN205" i="3"/>
  <c r="AO205" i="3"/>
  <c r="AJ206" i="3"/>
  <c r="AK206" i="3"/>
  <c r="AL206" i="3"/>
  <c r="AM206" i="3"/>
  <c r="AN206" i="3"/>
  <c r="AO206" i="3"/>
  <c r="AJ207" i="3"/>
  <c r="AK207" i="3"/>
  <c r="AL207" i="3"/>
  <c r="AM207" i="3"/>
  <c r="AN207" i="3"/>
  <c r="AO207" i="3"/>
  <c r="AJ208" i="3"/>
  <c r="AK208" i="3"/>
  <c r="AL208" i="3"/>
  <c r="AM208" i="3"/>
  <c r="AN208" i="3"/>
  <c r="AO208" i="3"/>
  <c r="AJ209" i="3"/>
  <c r="AK209" i="3"/>
  <c r="AL209" i="3"/>
  <c r="AM209" i="3"/>
  <c r="AN209" i="3"/>
  <c r="AO209" i="3"/>
  <c r="AJ210" i="3"/>
  <c r="AK210" i="3"/>
  <c r="AL210" i="3"/>
  <c r="AM210" i="3"/>
  <c r="AN210" i="3"/>
  <c r="AO210" i="3"/>
  <c r="AJ211" i="3"/>
  <c r="AK211" i="3"/>
  <c r="AL211" i="3"/>
  <c r="AM211" i="3"/>
  <c r="AN211" i="3"/>
  <c r="AO211" i="3"/>
  <c r="AJ212" i="3"/>
  <c r="AK212" i="3"/>
  <c r="AL212" i="3"/>
  <c r="AM212" i="3"/>
  <c r="AN212" i="3"/>
  <c r="AO212" i="3"/>
  <c r="AJ213" i="3"/>
  <c r="AK213" i="3"/>
  <c r="AL213" i="3"/>
  <c r="AM213" i="3"/>
  <c r="AN213" i="3"/>
  <c r="AO213" i="3"/>
  <c r="AJ214" i="3"/>
  <c r="AK214" i="3"/>
  <c r="AL214" i="3"/>
  <c r="AM214" i="3"/>
  <c r="AN214" i="3"/>
  <c r="AO214" i="3"/>
  <c r="AJ215" i="3"/>
  <c r="AK215" i="3"/>
  <c r="AL215" i="3"/>
  <c r="AM215" i="3"/>
  <c r="AN215" i="3"/>
  <c r="AO215" i="3"/>
  <c r="AJ216" i="3"/>
  <c r="AK216" i="3"/>
  <c r="AL216" i="3"/>
  <c r="AM216" i="3"/>
  <c r="AN216" i="3"/>
  <c r="AO216" i="3"/>
  <c r="AJ217" i="3"/>
  <c r="AK217" i="3"/>
  <c r="AL217" i="3"/>
  <c r="AM217" i="3"/>
  <c r="AN217" i="3"/>
  <c r="AO217" i="3"/>
  <c r="AJ218" i="3"/>
  <c r="AK218" i="3"/>
  <c r="AL218" i="3"/>
  <c r="AM218" i="3"/>
  <c r="AN218" i="3"/>
  <c r="AO218" i="3"/>
  <c r="AJ219" i="3"/>
  <c r="AK219" i="3"/>
  <c r="AL219" i="3"/>
  <c r="AM219" i="3"/>
  <c r="AN219" i="3"/>
  <c r="AO219" i="3"/>
  <c r="AJ220" i="3"/>
  <c r="AK220" i="3"/>
  <c r="AL220" i="3"/>
  <c r="AM220" i="3"/>
  <c r="AN220" i="3"/>
  <c r="AO220" i="3"/>
  <c r="AJ221" i="3"/>
  <c r="AK221" i="3"/>
  <c r="AL221" i="3"/>
  <c r="AM221" i="3"/>
  <c r="AN221" i="3"/>
  <c r="AO221" i="3"/>
  <c r="AJ222" i="3"/>
  <c r="AK222" i="3"/>
  <c r="AL222" i="3"/>
  <c r="AM222" i="3"/>
  <c r="AN222" i="3"/>
  <c r="AO222" i="3"/>
  <c r="AJ223" i="3"/>
  <c r="AK223" i="3"/>
  <c r="AL223" i="3"/>
  <c r="AM223" i="3"/>
  <c r="AN223" i="3"/>
  <c r="AO223" i="3"/>
  <c r="AJ224" i="3"/>
  <c r="AK224" i="3"/>
  <c r="AL224" i="3"/>
  <c r="AM224" i="3"/>
  <c r="AN224" i="3"/>
  <c r="AO224" i="3"/>
  <c r="AJ225" i="3"/>
  <c r="AK225" i="3"/>
  <c r="AL225" i="3"/>
  <c r="AM225" i="3"/>
  <c r="AN225" i="3"/>
  <c r="AO225" i="3"/>
  <c r="AJ226" i="3"/>
  <c r="AK226" i="3"/>
  <c r="AL226" i="3"/>
  <c r="AM226" i="3"/>
  <c r="AN226" i="3"/>
  <c r="AO226" i="3"/>
  <c r="AJ227" i="3"/>
  <c r="AK227" i="3"/>
  <c r="AL227" i="3"/>
  <c r="AM227" i="3"/>
  <c r="AN227" i="3"/>
  <c r="AO227" i="3"/>
  <c r="AJ228" i="3"/>
  <c r="AK228" i="3"/>
  <c r="AL228" i="3"/>
  <c r="AM228" i="3"/>
  <c r="AN228" i="3"/>
  <c r="AO228" i="3"/>
  <c r="AJ229" i="3"/>
  <c r="AK229" i="3"/>
  <c r="AL229" i="3"/>
  <c r="AM229" i="3"/>
  <c r="AN229" i="3"/>
  <c r="AO229" i="3"/>
  <c r="AJ230" i="3"/>
  <c r="AK230" i="3"/>
  <c r="AL230" i="3"/>
  <c r="AM230" i="3"/>
  <c r="AN230" i="3"/>
  <c r="AO230" i="3"/>
  <c r="AJ231" i="3"/>
  <c r="AK231" i="3"/>
  <c r="AL231" i="3"/>
  <c r="AM231" i="3"/>
  <c r="AN231" i="3"/>
  <c r="AO231" i="3"/>
  <c r="AJ232" i="3"/>
  <c r="AK232" i="3"/>
  <c r="AL232" i="3"/>
  <c r="AM232" i="3"/>
  <c r="AN232" i="3"/>
  <c r="AO232" i="3"/>
  <c r="AO2" i="3"/>
  <c r="AN2" i="3"/>
  <c r="AM2" i="3"/>
  <c r="AL2" i="3"/>
  <c r="AK2" i="3"/>
  <c r="AJ2" i="3"/>
  <c r="Y3" i="3"/>
  <c r="Z3" i="3"/>
  <c r="AA3" i="3"/>
  <c r="AB3" i="3"/>
  <c r="AF3" i="3"/>
  <c r="X4" i="3"/>
  <c r="Y4" i="3"/>
  <c r="Z4" i="3"/>
  <c r="AA4" i="3"/>
  <c r="AB4" i="3"/>
  <c r="AF4" i="3"/>
  <c r="X5" i="3"/>
  <c r="Y5" i="3"/>
  <c r="Z5" i="3"/>
  <c r="AA5" i="3"/>
  <c r="AB5" i="3"/>
  <c r="AF5" i="3"/>
  <c r="X6" i="3"/>
  <c r="Y6" i="3"/>
  <c r="Z6" i="3"/>
  <c r="AA6" i="3"/>
  <c r="AB6" i="3"/>
  <c r="AF6" i="3"/>
  <c r="X7" i="3"/>
  <c r="Y7" i="3"/>
  <c r="Z7" i="3"/>
  <c r="AA7" i="3"/>
  <c r="AB7" i="3"/>
  <c r="AF7" i="3"/>
  <c r="X8" i="3"/>
  <c r="Y8" i="3"/>
  <c r="Z8" i="3"/>
  <c r="AA8" i="3"/>
  <c r="AB8" i="3"/>
  <c r="AF8" i="3"/>
  <c r="X9" i="3"/>
  <c r="Y9" i="3"/>
  <c r="Z9" i="3"/>
  <c r="AA9" i="3"/>
  <c r="AB9" i="3"/>
  <c r="AF9" i="3"/>
  <c r="X10" i="3"/>
  <c r="AB10" i="3"/>
  <c r="AF10" i="3"/>
  <c r="X11" i="3"/>
  <c r="Y11" i="3"/>
  <c r="Z11" i="3"/>
  <c r="AA11" i="3"/>
  <c r="AB11" i="3"/>
  <c r="AF11" i="3"/>
  <c r="X12" i="3"/>
  <c r="Y12" i="3"/>
  <c r="Z12" i="3"/>
  <c r="AA12" i="3"/>
  <c r="AB12" i="3"/>
  <c r="AF12" i="3"/>
  <c r="X13" i="3"/>
  <c r="Y13" i="3"/>
  <c r="Z13" i="3"/>
  <c r="AA13" i="3"/>
  <c r="AB13" i="3"/>
  <c r="AF13" i="3"/>
  <c r="X14" i="3"/>
  <c r="Y14" i="3"/>
  <c r="Z14" i="3"/>
  <c r="AA14" i="3"/>
  <c r="AB14" i="3"/>
  <c r="AF14" i="3"/>
  <c r="X15" i="3"/>
  <c r="Y15" i="3"/>
  <c r="Z15" i="3"/>
  <c r="AA15" i="3"/>
  <c r="AB15" i="3"/>
  <c r="AF15" i="3"/>
  <c r="X16" i="3"/>
  <c r="Y16" i="3"/>
  <c r="Z16" i="3"/>
  <c r="AA16" i="3"/>
  <c r="AB16" i="3"/>
  <c r="AF16" i="3"/>
  <c r="X17" i="3"/>
  <c r="Y17" i="3"/>
  <c r="Z17" i="3"/>
  <c r="AA17" i="3"/>
  <c r="AB17" i="3"/>
  <c r="AF17" i="3"/>
  <c r="X18" i="3"/>
  <c r="Y18" i="3"/>
  <c r="AA18" i="3"/>
  <c r="AB18" i="3"/>
  <c r="AF18" i="3"/>
  <c r="X19" i="3"/>
  <c r="Y19" i="3"/>
  <c r="Z19" i="3"/>
  <c r="AA19" i="3"/>
  <c r="AB19" i="3"/>
  <c r="AF19" i="3"/>
  <c r="X20" i="3"/>
  <c r="Y20" i="3"/>
  <c r="Z20" i="3"/>
  <c r="AA20" i="3"/>
  <c r="AB20" i="3"/>
  <c r="AF20" i="3"/>
  <c r="X21" i="3"/>
  <c r="Y21" i="3"/>
  <c r="Z21" i="3"/>
  <c r="AA21" i="3"/>
  <c r="AB21" i="3"/>
  <c r="AF21" i="3"/>
  <c r="X22" i="3"/>
  <c r="Y22" i="3"/>
  <c r="Z22" i="3"/>
  <c r="AA22" i="3"/>
  <c r="AB22" i="3"/>
  <c r="AF22" i="3"/>
  <c r="X23" i="3"/>
  <c r="Y23" i="3"/>
  <c r="Z23" i="3"/>
  <c r="AA23" i="3"/>
  <c r="AB23" i="3"/>
  <c r="AF23" i="3"/>
  <c r="X24" i="3"/>
  <c r="Y24" i="3"/>
  <c r="Z24" i="3"/>
  <c r="AA24" i="3"/>
  <c r="AB24" i="3"/>
  <c r="AF24" i="3"/>
  <c r="X25" i="3"/>
  <c r="Y25" i="3"/>
  <c r="Z25" i="3"/>
  <c r="AA25" i="3"/>
  <c r="AB25" i="3"/>
  <c r="AF25" i="3"/>
  <c r="X26" i="3"/>
  <c r="Y26" i="3"/>
  <c r="Z26" i="3"/>
  <c r="AA26" i="3"/>
  <c r="AB26" i="3"/>
  <c r="AF26" i="3"/>
  <c r="X27" i="3"/>
  <c r="Y27" i="3"/>
  <c r="Z27" i="3"/>
  <c r="AA27" i="3"/>
  <c r="AB27" i="3"/>
  <c r="AF27" i="3"/>
  <c r="X28" i="3"/>
  <c r="Y28" i="3"/>
  <c r="Z28" i="3"/>
  <c r="AA28" i="3"/>
  <c r="AB28" i="3"/>
  <c r="AF28" i="3"/>
  <c r="X29" i="3"/>
  <c r="Y29" i="3"/>
  <c r="Z29" i="3"/>
  <c r="AA29" i="3"/>
  <c r="AB29" i="3"/>
  <c r="AF29" i="3"/>
  <c r="X30" i="3"/>
  <c r="Y30" i="3"/>
  <c r="Z30" i="3"/>
  <c r="AA30" i="3"/>
  <c r="AB30" i="3"/>
  <c r="AF30" i="3"/>
  <c r="X31" i="3"/>
  <c r="Y31" i="3"/>
  <c r="Z31" i="3"/>
  <c r="AA31" i="3"/>
  <c r="AB31" i="3"/>
  <c r="AF31" i="3"/>
  <c r="X32" i="3"/>
  <c r="Y32" i="3"/>
  <c r="Z32" i="3"/>
  <c r="AA32" i="3"/>
  <c r="AB32" i="3"/>
  <c r="AF32" i="3"/>
  <c r="X33" i="3"/>
  <c r="Y33" i="3"/>
  <c r="Z33" i="3"/>
  <c r="AA33" i="3"/>
  <c r="AB33" i="3"/>
  <c r="AF33" i="3"/>
  <c r="X34" i="3"/>
  <c r="Y34" i="3"/>
  <c r="Z34" i="3"/>
  <c r="AA34" i="3"/>
  <c r="AB34" i="3"/>
  <c r="AF34" i="3"/>
  <c r="X35" i="3"/>
  <c r="Y35" i="3"/>
  <c r="Z35" i="3"/>
  <c r="AA35" i="3"/>
  <c r="AB35" i="3"/>
  <c r="AF35" i="3"/>
  <c r="X36" i="3"/>
  <c r="Y36" i="3"/>
  <c r="Z36" i="3"/>
  <c r="AA36" i="3"/>
  <c r="AB36" i="3"/>
  <c r="AF36" i="3"/>
  <c r="X37" i="3"/>
  <c r="Y37" i="3"/>
  <c r="Z37" i="3"/>
  <c r="AA37" i="3"/>
  <c r="AB37" i="3"/>
  <c r="AF37" i="3"/>
  <c r="X38" i="3"/>
  <c r="Y38" i="3"/>
  <c r="Z38" i="3"/>
  <c r="AA38" i="3"/>
  <c r="AB38" i="3"/>
  <c r="AF38" i="3"/>
  <c r="X39" i="3"/>
  <c r="Y39" i="3"/>
  <c r="Z39" i="3"/>
  <c r="AA39" i="3"/>
  <c r="AB39" i="3"/>
  <c r="AF39" i="3"/>
  <c r="X40" i="3"/>
  <c r="Y40" i="3"/>
  <c r="Z40" i="3"/>
  <c r="AA40" i="3"/>
  <c r="AB40" i="3"/>
  <c r="AF40" i="3"/>
  <c r="X41" i="3"/>
  <c r="Y41" i="3"/>
  <c r="Z41" i="3"/>
  <c r="AA41" i="3"/>
  <c r="AB41" i="3"/>
  <c r="AF41" i="3"/>
  <c r="X42" i="3"/>
  <c r="Y42" i="3"/>
  <c r="Z42" i="3"/>
  <c r="AA42" i="3"/>
  <c r="AB42" i="3"/>
  <c r="AF42" i="3"/>
  <c r="X43" i="3"/>
  <c r="Y43" i="3"/>
  <c r="Z43" i="3"/>
  <c r="AA43" i="3"/>
  <c r="AB43" i="3"/>
  <c r="AF43" i="3"/>
  <c r="X44" i="3"/>
  <c r="Y44" i="3"/>
  <c r="Z44" i="3"/>
  <c r="AA44" i="3"/>
  <c r="AB44" i="3"/>
  <c r="AF44" i="3"/>
  <c r="X45" i="3"/>
  <c r="Y45" i="3"/>
  <c r="Z45" i="3"/>
  <c r="AA45" i="3"/>
  <c r="AB45" i="3"/>
  <c r="AF45" i="3"/>
  <c r="X46" i="3"/>
  <c r="Y46" i="3"/>
  <c r="Z46" i="3"/>
  <c r="AA46" i="3"/>
  <c r="AB46" i="3"/>
  <c r="AF46" i="3"/>
  <c r="X47" i="3"/>
  <c r="Y47" i="3"/>
  <c r="Z47" i="3"/>
  <c r="AA47" i="3"/>
  <c r="AB47" i="3"/>
  <c r="AF47" i="3"/>
  <c r="X48" i="3"/>
  <c r="Y48" i="3"/>
  <c r="Z48" i="3"/>
  <c r="AA48" i="3"/>
  <c r="AB48" i="3"/>
  <c r="AF48" i="3"/>
  <c r="X49" i="3"/>
  <c r="Y49" i="3"/>
  <c r="Z49" i="3"/>
  <c r="AA49" i="3"/>
  <c r="AB49" i="3"/>
  <c r="AF49" i="3"/>
  <c r="X50" i="3"/>
  <c r="Y50" i="3"/>
  <c r="Z50" i="3"/>
  <c r="AA50" i="3"/>
  <c r="AB50" i="3"/>
  <c r="AF50" i="3"/>
  <c r="X51" i="3"/>
  <c r="Y51" i="3"/>
  <c r="Z51" i="3"/>
  <c r="AA51" i="3"/>
  <c r="AB51" i="3"/>
  <c r="AF51" i="3"/>
  <c r="X52" i="3"/>
  <c r="Y52" i="3"/>
  <c r="Z52" i="3"/>
  <c r="AA52" i="3"/>
  <c r="AB52" i="3"/>
  <c r="AF52" i="3"/>
  <c r="X53" i="3"/>
  <c r="Y53" i="3"/>
  <c r="Z53" i="3"/>
  <c r="AA53" i="3"/>
  <c r="AB53" i="3"/>
  <c r="AF53" i="3"/>
  <c r="X54" i="3"/>
  <c r="Y54" i="3"/>
  <c r="Z54" i="3"/>
  <c r="AA54" i="3"/>
  <c r="AB54" i="3"/>
  <c r="AF54" i="3"/>
  <c r="X55" i="3"/>
  <c r="Y55" i="3"/>
  <c r="Z55" i="3"/>
  <c r="AA55" i="3"/>
  <c r="AB55" i="3"/>
  <c r="AF55" i="3"/>
  <c r="X56" i="3"/>
  <c r="Y56" i="3"/>
  <c r="Z56" i="3"/>
  <c r="AA56" i="3"/>
  <c r="AB56" i="3"/>
  <c r="AF56" i="3"/>
  <c r="X57" i="3"/>
  <c r="Y57" i="3"/>
  <c r="Z57" i="3"/>
  <c r="AA57" i="3"/>
  <c r="AB57" i="3"/>
  <c r="AF57" i="3"/>
  <c r="X58" i="3"/>
  <c r="Y58" i="3"/>
  <c r="Z58" i="3"/>
  <c r="AA58" i="3"/>
  <c r="AB58" i="3"/>
  <c r="AF58" i="3"/>
  <c r="X59" i="3"/>
  <c r="Y59" i="3"/>
  <c r="Z59" i="3"/>
  <c r="AA59" i="3"/>
  <c r="AB59" i="3"/>
  <c r="AF59" i="3"/>
  <c r="X60" i="3"/>
  <c r="Y60" i="3"/>
  <c r="Z60" i="3"/>
  <c r="AA60" i="3"/>
  <c r="AB60" i="3"/>
  <c r="AF60" i="3"/>
  <c r="X61" i="3"/>
  <c r="Y61" i="3"/>
  <c r="Z61" i="3"/>
  <c r="AA61" i="3"/>
  <c r="AB61" i="3"/>
  <c r="AF61" i="3"/>
  <c r="X62" i="3"/>
  <c r="Y62" i="3"/>
  <c r="Z62" i="3"/>
  <c r="AA62" i="3"/>
  <c r="AB62" i="3"/>
  <c r="AF62" i="3"/>
  <c r="X63" i="3"/>
  <c r="Y63" i="3"/>
  <c r="Z63" i="3"/>
  <c r="AA63" i="3"/>
  <c r="AB63" i="3"/>
  <c r="AF63" i="3"/>
  <c r="X64" i="3"/>
  <c r="Y64" i="3"/>
  <c r="Z64" i="3"/>
  <c r="AA64" i="3"/>
  <c r="AB64" i="3"/>
  <c r="AF64" i="3"/>
  <c r="X65" i="3"/>
  <c r="Y65" i="3"/>
  <c r="Z65" i="3"/>
  <c r="AA65" i="3"/>
  <c r="AB65" i="3"/>
  <c r="AF65" i="3"/>
  <c r="X66" i="3"/>
  <c r="Y66" i="3"/>
  <c r="Z66" i="3"/>
  <c r="AA66" i="3"/>
  <c r="AB66" i="3"/>
  <c r="AF66" i="3"/>
  <c r="X67" i="3"/>
  <c r="Y67" i="3"/>
  <c r="Z67" i="3"/>
  <c r="AA67" i="3"/>
  <c r="AB67" i="3"/>
  <c r="AF67" i="3"/>
  <c r="X68" i="3"/>
  <c r="Y68" i="3"/>
  <c r="Z68" i="3"/>
  <c r="AA68" i="3"/>
  <c r="AB68" i="3"/>
  <c r="AF68" i="3"/>
  <c r="X69" i="3"/>
  <c r="Y69" i="3"/>
  <c r="Z69" i="3"/>
  <c r="AA69" i="3"/>
  <c r="AB69" i="3"/>
  <c r="AF69" i="3"/>
  <c r="X70" i="3"/>
  <c r="Y70" i="3"/>
  <c r="Z70" i="3"/>
  <c r="AA70" i="3"/>
  <c r="AB70" i="3"/>
  <c r="AF70" i="3"/>
  <c r="X71" i="3"/>
  <c r="Y71" i="3"/>
  <c r="Z71" i="3"/>
  <c r="AA71" i="3"/>
  <c r="AB71" i="3"/>
  <c r="AF71" i="3"/>
  <c r="X72" i="3"/>
  <c r="Y72" i="3"/>
  <c r="Z72" i="3"/>
  <c r="AA72" i="3"/>
  <c r="AB72" i="3"/>
  <c r="AF72" i="3"/>
  <c r="X73" i="3"/>
  <c r="Y73" i="3"/>
  <c r="Z73" i="3"/>
  <c r="AA73" i="3"/>
  <c r="AB73" i="3"/>
  <c r="AF73" i="3"/>
  <c r="X74" i="3"/>
  <c r="Y74" i="3"/>
  <c r="Z74" i="3"/>
  <c r="AA74" i="3"/>
  <c r="AB74" i="3"/>
  <c r="AF74" i="3"/>
  <c r="X75" i="3"/>
  <c r="Y75" i="3"/>
  <c r="Z75" i="3"/>
  <c r="AA75" i="3"/>
  <c r="AB75" i="3"/>
  <c r="AF75" i="3"/>
  <c r="X76" i="3"/>
  <c r="Y76" i="3"/>
  <c r="Z76" i="3"/>
  <c r="AA76" i="3"/>
  <c r="AB76" i="3"/>
  <c r="AF76" i="3"/>
  <c r="X77" i="3"/>
  <c r="Y77" i="3"/>
  <c r="Z77" i="3"/>
  <c r="AA77" i="3"/>
  <c r="AB77" i="3"/>
  <c r="AF77" i="3"/>
  <c r="X78" i="3"/>
  <c r="Y78" i="3"/>
  <c r="Z78" i="3"/>
  <c r="AA78" i="3"/>
  <c r="AB78" i="3"/>
  <c r="AF78" i="3"/>
  <c r="X79" i="3"/>
  <c r="Y79" i="3"/>
  <c r="Z79" i="3"/>
  <c r="AA79" i="3"/>
  <c r="AB79" i="3"/>
  <c r="AF79" i="3"/>
  <c r="X80" i="3"/>
  <c r="Y80" i="3"/>
  <c r="Z80" i="3"/>
  <c r="AA80" i="3"/>
  <c r="AB80" i="3"/>
  <c r="AF80" i="3"/>
  <c r="X81" i="3"/>
  <c r="Y81" i="3"/>
  <c r="Z81" i="3"/>
  <c r="AA81" i="3"/>
  <c r="AB81" i="3"/>
  <c r="AF81" i="3"/>
  <c r="X82" i="3"/>
  <c r="Y82" i="3"/>
  <c r="Z82" i="3"/>
  <c r="AA82" i="3"/>
  <c r="AB82" i="3"/>
  <c r="AF82" i="3"/>
  <c r="X83" i="3"/>
  <c r="Y83" i="3"/>
  <c r="Z83" i="3"/>
  <c r="AA83" i="3"/>
  <c r="AB83" i="3"/>
  <c r="AF83" i="3"/>
  <c r="X84" i="3"/>
  <c r="Y84" i="3"/>
  <c r="Z84" i="3"/>
  <c r="AA84" i="3"/>
  <c r="AB84" i="3"/>
  <c r="AF84" i="3"/>
  <c r="X85" i="3"/>
  <c r="Y85" i="3"/>
  <c r="Z85" i="3"/>
  <c r="AA85" i="3"/>
  <c r="AB85" i="3"/>
  <c r="AF85" i="3"/>
  <c r="X86" i="3"/>
  <c r="Y86" i="3"/>
  <c r="Z86" i="3"/>
  <c r="AA86" i="3"/>
  <c r="AB86" i="3"/>
  <c r="AF86" i="3"/>
  <c r="X87" i="3"/>
  <c r="Y87" i="3"/>
  <c r="Z87" i="3"/>
  <c r="AA87" i="3"/>
  <c r="AB87" i="3"/>
  <c r="AF87" i="3"/>
  <c r="X88" i="3"/>
  <c r="Y88" i="3"/>
  <c r="Z88" i="3"/>
  <c r="AA88" i="3"/>
  <c r="AB88" i="3"/>
  <c r="AF88" i="3"/>
  <c r="X89" i="3"/>
  <c r="Y89" i="3"/>
  <c r="Z89" i="3"/>
  <c r="AA89" i="3"/>
  <c r="AB89" i="3"/>
  <c r="AF89" i="3"/>
  <c r="X90" i="3"/>
  <c r="Y90" i="3"/>
  <c r="Z90" i="3"/>
  <c r="AA90" i="3"/>
  <c r="AB90" i="3"/>
  <c r="AF90" i="3"/>
  <c r="X91" i="3"/>
  <c r="Y91" i="3"/>
  <c r="Z91" i="3"/>
  <c r="AA91" i="3"/>
  <c r="AB91" i="3"/>
  <c r="AF91" i="3"/>
  <c r="X92" i="3"/>
  <c r="Y92" i="3"/>
  <c r="Z92" i="3"/>
  <c r="AA92" i="3"/>
  <c r="AB92" i="3"/>
  <c r="AF92" i="3"/>
  <c r="X93" i="3"/>
  <c r="Y93" i="3"/>
  <c r="Z93" i="3"/>
  <c r="AA93" i="3"/>
  <c r="AB93" i="3"/>
  <c r="AF93" i="3"/>
  <c r="X94" i="3"/>
  <c r="Y94" i="3"/>
  <c r="Z94" i="3"/>
  <c r="AA94" i="3"/>
  <c r="AB94" i="3"/>
  <c r="AF94" i="3"/>
  <c r="X95" i="3"/>
  <c r="Y95" i="3"/>
  <c r="Z95" i="3"/>
  <c r="AA95" i="3"/>
  <c r="AB95" i="3"/>
  <c r="AF95" i="3"/>
  <c r="X96" i="3"/>
  <c r="Y96" i="3"/>
  <c r="Z96" i="3"/>
  <c r="AA96" i="3"/>
  <c r="AB96" i="3"/>
  <c r="AF96" i="3"/>
  <c r="X97" i="3"/>
  <c r="Y97" i="3"/>
  <c r="Z97" i="3"/>
  <c r="AA97" i="3"/>
  <c r="AB97" i="3"/>
  <c r="AF97" i="3"/>
  <c r="X98" i="3"/>
  <c r="Y98" i="3"/>
  <c r="Z98" i="3"/>
  <c r="AA98" i="3"/>
  <c r="AB98" i="3"/>
  <c r="AF98" i="3"/>
  <c r="X99" i="3"/>
  <c r="Y99" i="3"/>
  <c r="Z99" i="3"/>
  <c r="AA99" i="3"/>
  <c r="AB99" i="3"/>
  <c r="AF99" i="3"/>
  <c r="X100" i="3"/>
  <c r="Y100" i="3"/>
  <c r="Z100" i="3"/>
  <c r="AA100" i="3"/>
  <c r="AB100" i="3"/>
  <c r="AF100" i="3"/>
  <c r="X101" i="3"/>
  <c r="Y101" i="3"/>
  <c r="Z101" i="3"/>
  <c r="AA101" i="3"/>
  <c r="AB101" i="3"/>
  <c r="AF101" i="3"/>
  <c r="X102" i="3"/>
  <c r="Y102" i="3"/>
  <c r="Z102" i="3"/>
  <c r="AA102" i="3"/>
  <c r="AB102" i="3"/>
  <c r="AF102" i="3"/>
  <c r="X103" i="3"/>
  <c r="Y103" i="3"/>
  <c r="Z103" i="3"/>
  <c r="AA103" i="3"/>
  <c r="AB103" i="3"/>
  <c r="AF103" i="3"/>
  <c r="X104" i="3"/>
  <c r="Y104" i="3"/>
  <c r="Z104" i="3"/>
  <c r="AA104" i="3"/>
  <c r="AB104" i="3"/>
  <c r="AF104" i="3"/>
  <c r="X105" i="3"/>
  <c r="Y105" i="3"/>
  <c r="Z105" i="3"/>
  <c r="AA105" i="3"/>
  <c r="AB105" i="3"/>
  <c r="AF105" i="3"/>
  <c r="X106" i="3"/>
  <c r="Y106" i="3"/>
  <c r="Z106" i="3"/>
  <c r="AA106" i="3"/>
  <c r="AB106" i="3"/>
  <c r="AF106" i="3"/>
  <c r="X107" i="3"/>
  <c r="Y107" i="3"/>
  <c r="Z107" i="3"/>
  <c r="AA107" i="3"/>
  <c r="AB107" i="3"/>
  <c r="AF107" i="3"/>
  <c r="X108" i="3"/>
  <c r="Y108" i="3"/>
  <c r="Z108" i="3"/>
  <c r="AA108" i="3"/>
  <c r="AB108" i="3"/>
  <c r="AF108" i="3"/>
  <c r="X109" i="3"/>
  <c r="Y109" i="3"/>
  <c r="Z109" i="3"/>
  <c r="AA109" i="3"/>
  <c r="AB109" i="3"/>
  <c r="AF109" i="3"/>
  <c r="X110" i="3"/>
  <c r="Y110" i="3"/>
  <c r="Z110" i="3"/>
  <c r="AA110" i="3"/>
  <c r="AB110" i="3"/>
  <c r="AF110" i="3"/>
  <c r="X111" i="3"/>
  <c r="Y111" i="3"/>
  <c r="Z111" i="3"/>
  <c r="AA111" i="3"/>
  <c r="AB111" i="3"/>
  <c r="AF111" i="3"/>
  <c r="X112" i="3"/>
  <c r="Y112" i="3"/>
  <c r="Z112" i="3"/>
  <c r="AA112" i="3"/>
  <c r="AB112" i="3"/>
  <c r="AF112" i="3"/>
  <c r="X113" i="3"/>
  <c r="Y113" i="3"/>
  <c r="Z113" i="3"/>
  <c r="AA113" i="3"/>
  <c r="AB113" i="3"/>
  <c r="AF113" i="3"/>
  <c r="X114" i="3"/>
  <c r="Y114" i="3"/>
  <c r="Z114" i="3"/>
  <c r="AA114" i="3"/>
  <c r="AB114" i="3"/>
  <c r="AF114" i="3"/>
  <c r="X115" i="3"/>
  <c r="Y115" i="3"/>
  <c r="Z115" i="3"/>
  <c r="AA115" i="3"/>
  <c r="AB115" i="3"/>
  <c r="AF115" i="3"/>
  <c r="X116" i="3"/>
  <c r="Y116" i="3"/>
  <c r="Z116" i="3"/>
  <c r="AA116" i="3"/>
  <c r="AB116" i="3"/>
  <c r="AF116" i="3"/>
  <c r="X117" i="3"/>
  <c r="Y117" i="3"/>
  <c r="Z117" i="3"/>
  <c r="AA117" i="3"/>
  <c r="AB117" i="3"/>
  <c r="AF117" i="3"/>
  <c r="X118" i="3"/>
  <c r="Y118" i="3"/>
  <c r="Z118" i="3"/>
  <c r="AA118" i="3"/>
  <c r="AB118" i="3"/>
  <c r="AF118" i="3"/>
  <c r="X119" i="3"/>
  <c r="Y119" i="3"/>
  <c r="Z119" i="3"/>
  <c r="AA119" i="3"/>
  <c r="AB119" i="3"/>
  <c r="AF119" i="3"/>
  <c r="X120" i="3"/>
  <c r="Y120" i="3"/>
  <c r="Z120" i="3"/>
  <c r="AA120" i="3"/>
  <c r="AB120" i="3"/>
  <c r="AF120" i="3"/>
  <c r="X121" i="3"/>
  <c r="Y121" i="3"/>
  <c r="Z121" i="3"/>
  <c r="AA121" i="3"/>
  <c r="AB121" i="3"/>
  <c r="AF121" i="3"/>
  <c r="X122" i="3"/>
  <c r="Y122" i="3"/>
  <c r="Z122" i="3"/>
  <c r="AA122" i="3"/>
  <c r="AB122" i="3"/>
  <c r="AF122" i="3"/>
  <c r="X123" i="3"/>
  <c r="Y123" i="3"/>
  <c r="Z123" i="3"/>
  <c r="AA123" i="3"/>
  <c r="AB123" i="3"/>
  <c r="AF123" i="3"/>
  <c r="X124" i="3"/>
  <c r="Y124" i="3"/>
  <c r="Z124" i="3"/>
  <c r="AA124" i="3"/>
  <c r="AB124" i="3"/>
  <c r="AF124" i="3"/>
  <c r="X125" i="3"/>
  <c r="Y125" i="3"/>
  <c r="Z125" i="3"/>
  <c r="AA125" i="3"/>
  <c r="AB125" i="3"/>
  <c r="AF125" i="3"/>
  <c r="X126" i="3"/>
  <c r="Y126" i="3"/>
  <c r="Z126" i="3"/>
  <c r="AA126" i="3"/>
  <c r="AB126" i="3"/>
  <c r="AF126" i="3"/>
  <c r="X127" i="3"/>
  <c r="Y127" i="3"/>
  <c r="Z127" i="3"/>
  <c r="AA127" i="3"/>
  <c r="AB127" i="3"/>
  <c r="AF127" i="3"/>
  <c r="X128" i="3"/>
  <c r="Y128" i="3"/>
  <c r="Z128" i="3"/>
  <c r="AA128" i="3"/>
  <c r="AB128" i="3"/>
  <c r="AF128" i="3"/>
  <c r="X129" i="3"/>
  <c r="Y129" i="3"/>
  <c r="Z129" i="3"/>
  <c r="AA129" i="3"/>
  <c r="AB129" i="3"/>
  <c r="AF129" i="3"/>
  <c r="X130" i="3"/>
  <c r="Y130" i="3"/>
  <c r="Z130" i="3"/>
  <c r="AA130" i="3"/>
  <c r="AB130" i="3"/>
  <c r="AF130" i="3"/>
  <c r="X131" i="3"/>
  <c r="Y131" i="3"/>
  <c r="Z131" i="3"/>
  <c r="AA131" i="3"/>
  <c r="AB131" i="3"/>
  <c r="AF131" i="3"/>
  <c r="X132" i="3"/>
  <c r="Y132" i="3"/>
  <c r="Z132" i="3"/>
  <c r="AA132" i="3"/>
  <c r="AB132" i="3"/>
  <c r="AF132" i="3"/>
  <c r="X133" i="3"/>
  <c r="Y133" i="3"/>
  <c r="Z133" i="3"/>
  <c r="AA133" i="3"/>
  <c r="AB133" i="3"/>
  <c r="AF133" i="3"/>
  <c r="X134" i="3"/>
  <c r="Y134" i="3"/>
  <c r="Z134" i="3"/>
  <c r="AA134" i="3"/>
  <c r="AB134" i="3"/>
  <c r="AF134" i="3"/>
  <c r="X135" i="3"/>
  <c r="Y135" i="3"/>
  <c r="Z135" i="3"/>
  <c r="AA135" i="3"/>
  <c r="AB135" i="3"/>
  <c r="AF135" i="3"/>
  <c r="X136" i="3"/>
  <c r="Y136" i="3"/>
  <c r="Z136" i="3"/>
  <c r="AA136" i="3"/>
  <c r="AB136" i="3"/>
  <c r="AF136" i="3"/>
  <c r="X137" i="3"/>
  <c r="Y137" i="3"/>
  <c r="Z137" i="3"/>
  <c r="AA137" i="3"/>
  <c r="AB137" i="3"/>
  <c r="AF137" i="3"/>
  <c r="X138" i="3"/>
  <c r="Y138" i="3"/>
  <c r="Z138" i="3"/>
  <c r="AA138" i="3"/>
  <c r="AB138" i="3"/>
  <c r="AF138" i="3"/>
  <c r="X139" i="3"/>
  <c r="Y139" i="3"/>
  <c r="Z139" i="3"/>
  <c r="AA139" i="3"/>
  <c r="AB139" i="3"/>
  <c r="AF139" i="3"/>
  <c r="X140" i="3"/>
  <c r="Y140" i="3"/>
  <c r="Z140" i="3"/>
  <c r="AA140" i="3"/>
  <c r="AB140" i="3"/>
  <c r="AF140" i="3"/>
  <c r="X141" i="3"/>
  <c r="Y141" i="3"/>
  <c r="Z141" i="3"/>
  <c r="AA141" i="3"/>
  <c r="AB141" i="3"/>
  <c r="AF141" i="3"/>
  <c r="X142" i="3"/>
  <c r="Y142" i="3"/>
  <c r="Z142" i="3"/>
  <c r="AA142" i="3"/>
  <c r="AB142" i="3"/>
  <c r="AF142" i="3"/>
  <c r="X143" i="3"/>
  <c r="Y143" i="3"/>
  <c r="Z143" i="3"/>
  <c r="AA143" i="3"/>
  <c r="AB143" i="3"/>
  <c r="AF143" i="3"/>
  <c r="X144" i="3"/>
  <c r="Y144" i="3"/>
  <c r="Z144" i="3"/>
  <c r="AA144" i="3"/>
  <c r="AB144" i="3"/>
  <c r="AF144" i="3"/>
  <c r="X145" i="3"/>
  <c r="Y145" i="3"/>
  <c r="Z145" i="3"/>
  <c r="AA145" i="3"/>
  <c r="AB145" i="3"/>
  <c r="AF145" i="3"/>
  <c r="X146" i="3"/>
  <c r="Y146" i="3"/>
  <c r="Z146" i="3"/>
  <c r="AA146" i="3"/>
  <c r="AB146" i="3"/>
  <c r="AF146" i="3"/>
  <c r="X147" i="3"/>
  <c r="Y147" i="3"/>
  <c r="Z147" i="3"/>
  <c r="AA147" i="3"/>
  <c r="AB147" i="3"/>
  <c r="AF147" i="3"/>
  <c r="X148" i="3"/>
  <c r="Y148" i="3"/>
  <c r="Z148" i="3"/>
  <c r="AA148" i="3"/>
  <c r="AB148" i="3"/>
  <c r="AF148" i="3"/>
  <c r="X149" i="3"/>
  <c r="Y149" i="3"/>
  <c r="Z149" i="3"/>
  <c r="AA149" i="3"/>
  <c r="AB149" i="3"/>
  <c r="AF149" i="3"/>
  <c r="X150" i="3"/>
  <c r="Y150" i="3"/>
  <c r="Z150" i="3"/>
  <c r="AA150" i="3"/>
  <c r="AB150" i="3"/>
  <c r="AF150" i="3"/>
  <c r="X151" i="3"/>
  <c r="Y151" i="3"/>
  <c r="Z151" i="3"/>
  <c r="AA151" i="3"/>
  <c r="AB151" i="3"/>
  <c r="AF151" i="3"/>
  <c r="X152" i="3"/>
  <c r="Y152" i="3"/>
  <c r="Z152" i="3"/>
  <c r="AA152" i="3"/>
  <c r="AB152" i="3"/>
  <c r="AF152" i="3"/>
  <c r="X153" i="3"/>
  <c r="Y153" i="3"/>
  <c r="Z153" i="3"/>
  <c r="AA153" i="3"/>
  <c r="AB153" i="3"/>
  <c r="AF153" i="3"/>
  <c r="X154" i="3"/>
  <c r="Y154" i="3"/>
  <c r="Z154" i="3"/>
  <c r="AA154" i="3"/>
  <c r="AB154" i="3"/>
  <c r="AF154" i="3"/>
  <c r="X155" i="3"/>
  <c r="Y155" i="3"/>
  <c r="Z155" i="3"/>
  <c r="AA155" i="3"/>
  <c r="AB155" i="3"/>
  <c r="AF155" i="3"/>
  <c r="X156" i="3"/>
  <c r="Y156" i="3"/>
  <c r="Z156" i="3"/>
  <c r="AA156" i="3"/>
  <c r="AB156" i="3"/>
  <c r="AF156" i="3"/>
  <c r="X157" i="3"/>
  <c r="Y157" i="3"/>
  <c r="Z157" i="3"/>
  <c r="AA157" i="3"/>
  <c r="AB157" i="3"/>
  <c r="AF157" i="3"/>
  <c r="X158" i="3"/>
  <c r="Y158" i="3"/>
  <c r="Z158" i="3"/>
  <c r="AA158" i="3"/>
  <c r="AB158" i="3"/>
  <c r="AF158" i="3"/>
  <c r="X159" i="3"/>
  <c r="Y159" i="3"/>
  <c r="Z159" i="3"/>
  <c r="AA159" i="3"/>
  <c r="AB159" i="3"/>
  <c r="AF159" i="3"/>
  <c r="X160" i="3"/>
  <c r="Y160" i="3"/>
  <c r="Z160" i="3"/>
  <c r="AA160" i="3"/>
  <c r="AB160" i="3"/>
  <c r="AF160" i="3"/>
  <c r="X161" i="3"/>
  <c r="Y161" i="3"/>
  <c r="Z161" i="3"/>
  <c r="AA161" i="3"/>
  <c r="AB161" i="3"/>
  <c r="AF161" i="3"/>
  <c r="X162" i="3"/>
  <c r="Y162" i="3"/>
  <c r="Z162" i="3"/>
  <c r="AA162" i="3"/>
  <c r="AB162" i="3"/>
  <c r="AF162" i="3"/>
  <c r="X163" i="3"/>
  <c r="Y163" i="3"/>
  <c r="Z163" i="3"/>
  <c r="AA163" i="3"/>
  <c r="AB163" i="3"/>
  <c r="AF163" i="3"/>
  <c r="X164" i="3"/>
  <c r="Y164" i="3"/>
  <c r="Z164" i="3"/>
  <c r="AA164" i="3"/>
  <c r="AB164" i="3"/>
  <c r="AF164" i="3"/>
  <c r="X165" i="3"/>
  <c r="Y165" i="3"/>
  <c r="Z165" i="3"/>
  <c r="AA165" i="3"/>
  <c r="AB165" i="3"/>
  <c r="AF165" i="3"/>
  <c r="X166" i="3"/>
  <c r="Y166" i="3"/>
  <c r="Z166" i="3"/>
  <c r="AA166" i="3"/>
  <c r="AB166" i="3"/>
  <c r="AF166" i="3"/>
  <c r="X167" i="3"/>
  <c r="Y167" i="3"/>
  <c r="Z167" i="3"/>
  <c r="AA167" i="3"/>
  <c r="AB167" i="3"/>
  <c r="AF167" i="3"/>
  <c r="X168" i="3"/>
  <c r="Y168" i="3"/>
  <c r="Z168" i="3"/>
  <c r="AA168" i="3"/>
  <c r="AB168" i="3"/>
  <c r="AF168" i="3"/>
  <c r="X169" i="3"/>
  <c r="Y169" i="3"/>
  <c r="Z169" i="3"/>
  <c r="AA169" i="3"/>
  <c r="AB169" i="3"/>
  <c r="AF169" i="3"/>
  <c r="X170" i="3"/>
  <c r="Y170" i="3"/>
  <c r="Z170" i="3"/>
  <c r="AA170" i="3"/>
  <c r="AB170" i="3"/>
  <c r="AF170" i="3"/>
  <c r="X171" i="3"/>
  <c r="Y171" i="3"/>
  <c r="Z171" i="3"/>
  <c r="AA171" i="3"/>
  <c r="AB171" i="3"/>
  <c r="AF171" i="3"/>
  <c r="X172" i="3"/>
  <c r="Y172" i="3"/>
  <c r="Z172" i="3"/>
  <c r="AA172" i="3"/>
  <c r="AB172" i="3"/>
  <c r="AF172" i="3"/>
  <c r="X173" i="3"/>
  <c r="Y173" i="3"/>
  <c r="Z173" i="3"/>
  <c r="AA173" i="3"/>
  <c r="AB173" i="3"/>
  <c r="AF173" i="3"/>
  <c r="X174" i="3"/>
  <c r="Y174" i="3"/>
  <c r="Z174" i="3"/>
  <c r="AA174" i="3"/>
  <c r="AB174" i="3"/>
  <c r="AF174" i="3"/>
  <c r="X175" i="3"/>
  <c r="Y175" i="3"/>
  <c r="Z175" i="3"/>
  <c r="AA175" i="3"/>
  <c r="AB175" i="3"/>
  <c r="AF175" i="3"/>
  <c r="X176" i="3"/>
  <c r="Y176" i="3"/>
  <c r="Z176" i="3"/>
  <c r="AA176" i="3"/>
  <c r="AB176" i="3"/>
  <c r="AF176" i="3"/>
  <c r="X177" i="3"/>
  <c r="Y177" i="3"/>
  <c r="Z177" i="3"/>
  <c r="AA177" i="3"/>
  <c r="AB177" i="3"/>
  <c r="AF177" i="3"/>
  <c r="X178" i="3"/>
  <c r="Y178" i="3"/>
  <c r="Z178" i="3"/>
  <c r="AA178" i="3"/>
  <c r="AB178" i="3"/>
  <c r="AF178" i="3"/>
  <c r="X179" i="3"/>
  <c r="Y179" i="3"/>
  <c r="Z179" i="3"/>
  <c r="AA179" i="3"/>
  <c r="AB179" i="3"/>
  <c r="AF179" i="3"/>
  <c r="X180" i="3"/>
  <c r="Y180" i="3"/>
  <c r="Z180" i="3"/>
  <c r="AA180" i="3"/>
  <c r="AB180" i="3"/>
  <c r="AF180" i="3"/>
  <c r="X181" i="3"/>
  <c r="Y181" i="3"/>
  <c r="Z181" i="3"/>
  <c r="AA181" i="3"/>
  <c r="AB181" i="3"/>
  <c r="AF181" i="3"/>
  <c r="X182" i="3"/>
  <c r="Y182" i="3"/>
  <c r="Z182" i="3"/>
  <c r="AA182" i="3"/>
  <c r="AB182" i="3"/>
  <c r="AF182" i="3"/>
  <c r="X183" i="3"/>
  <c r="Y183" i="3"/>
  <c r="Z183" i="3"/>
  <c r="AA183" i="3"/>
  <c r="AB183" i="3"/>
  <c r="AF183" i="3"/>
  <c r="X184" i="3"/>
  <c r="Y184" i="3"/>
  <c r="Z184" i="3"/>
  <c r="AA184" i="3"/>
  <c r="AB184" i="3"/>
  <c r="AF184" i="3"/>
  <c r="X185" i="3"/>
  <c r="Y185" i="3"/>
  <c r="Z185" i="3"/>
  <c r="AA185" i="3"/>
  <c r="AB185" i="3"/>
  <c r="AF185" i="3"/>
  <c r="X186" i="3"/>
  <c r="Y186" i="3"/>
  <c r="Z186" i="3"/>
  <c r="AA186" i="3"/>
  <c r="AB186" i="3"/>
  <c r="AF186" i="3"/>
  <c r="X187" i="3"/>
  <c r="Y187" i="3"/>
  <c r="Z187" i="3"/>
  <c r="AA187" i="3"/>
  <c r="AB187" i="3"/>
  <c r="AF187" i="3"/>
  <c r="X188" i="3"/>
  <c r="Y188" i="3"/>
  <c r="Z188" i="3"/>
  <c r="AA188" i="3"/>
  <c r="AB188" i="3"/>
  <c r="AF188" i="3"/>
  <c r="X189" i="3"/>
  <c r="Y189" i="3"/>
  <c r="Z189" i="3"/>
  <c r="AA189" i="3"/>
  <c r="AB189" i="3"/>
  <c r="AF189" i="3"/>
  <c r="X190" i="3"/>
  <c r="Y190" i="3"/>
  <c r="Z190" i="3"/>
  <c r="AA190" i="3"/>
  <c r="AB190" i="3"/>
  <c r="AF190" i="3"/>
  <c r="X191" i="3"/>
  <c r="Y191" i="3"/>
  <c r="Z191" i="3"/>
  <c r="AA191" i="3"/>
  <c r="AB191" i="3"/>
  <c r="AF191" i="3"/>
  <c r="X192" i="3"/>
  <c r="Y192" i="3"/>
  <c r="Z192" i="3"/>
  <c r="AA192" i="3"/>
  <c r="AB192" i="3"/>
  <c r="AF192" i="3"/>
  <c r="X193" i="3"/>
  <c r="Y193" i="3"/>
  <c r="Z193" i="3"/>
  <c r="AA193" i="3"/>
  <c r="AB193" i="3"/>
  <c r="AF193" i="3"/>
  <c r="X194" i="3"/>
  <c r="Y194" i="3"/>
  <c r="Z194" i="3"/>
  <c r="AA194" i="3"/>
  <c r="AB194" i="3"/>
  <c r="AF194" i="3"/>
  <c r="X195" i="3"/>
  <c r="Y195" i="3"/>
  <c r="Z195" i="3"/>
  <c r="AA195" i="3"/>
  <c r="AB195" i="3"/>
  <c r="AF195" i="3"/>
  <c r="X196" i="3"/>
  <c r="Y196" i="3"/>
  <c r="Z196" i="3"/>
  <c r="AA196" i="3"/>
  <c r="AB196" i="3"/>
  <c r="AF196" i="3"/>
  <c r="X197" i="3"/>
  <c r="Y197" i="3"/>
  <c r="Z197" i="3"/>
  <c r="AA197" i="3"/>
  <c r="AB197" i="3"/>
  <c r="AF197" i="3"/>
  <c r="X198" i="3"/>
  <c r="Y198" i="3"/>
  <c r="Z198" i="3"/>
  <c r="AA198" i="3"/>
  <c r="AB198" i="3"/>
  <c r="AF198" i="3"/>
  <c r="X199" i="3"/>
  <c r="Y199" i="3"/>
  <c r="Z199" i="3"/>
  <c r="AA199" i="3"/>
  <c r="AB199" i="3"/>
  <c r="AF199" i="3"/>
  <c r="X200" i="3"/>
  <c r="Y200" i="3"/>
  <c r="Z200" i="3"/>
  <c r="AA200" i="3"/>
  <c r="AB200" i="3"/>
  <c r="AF200" i="3"/>
  <c r="X201" i="3"/>
  <c r="Y201" i="3"/>
  <c r="Z201" i="3"/>
  <c r="AA201" i="3"/>
  <c r="AB201" i="3"/>
  <c r="AF201" i="3"/>
  <c r="X202" i="3"/>
  <c r="Y202" i="3"/>
  <c r="Z202" i="3"/>
  <c r="AA202" i="3"/>
  <c r="AB202" i="3"/>
  <c r="AF202" i="3"/>
  <c r="X203" i="3"/>
  <c r="Y203" i="3"/>
  <c r="Z203" i="3"/>
  <c r="AA203" i="3"/>
  <c r="AB203" i="3"/>
  <c r="AF203" i="3"/>
  <c r="X204" i="3"/>
  <c r="Y204" i="3"/>
  <c r="Z204" i="3"/>
  <c r="AA204" i="3"/>
  <c r="AB204" i="3"/>
  <c r="AF204" i="3"/>
  <c r="X205" i="3"/>
  <c r="Y205" i="3"/>
  <c r="Z205" i="3"/>
  <c r="AA205" i="3"/>
  <c r="AB205" i="3"/>
  <c r="AF205" i="3"/>
  <c r="X206" i="3"/>
  <c r="Y206" i="3"/>
  <c r="Z206" i="3"/>
  <c r="AA206" i="3"/>
  <c r="AB206" i="3"/>
  <c r="AF206" i="3"/>
  <c r="X207" i="3"/>
  <c r="Y207" i="3"/>
  <c r="Z207" i="3"/>
  <c r="AA207" i="3"/>
  <c r="AB207" i="3"/>
  <c r="AF207" i="3"/>
  <c r="X208" i="3"/>
  <c r="Y208" i="3"/>
  <c r="Z208" i="3"/>
  <c r="AA208" i="3"/>
  <c r="AB208" i="3"/>
  <c r="AF208" i="3"/>
  <c r="X209" i="3"/>
  <c r="Y209" i="3"/>
  <c r="Z209" i="3"/>
  <c r="AA209" i="3"/>
  <c r="AB209" i="3"/>
  <c r="AF209" i="3"/>
  <c r="X210" i="3"/>
  <c r="Y210" i="3"/>
  <c r="Z210" i="3"/>
  <c r="AA210" i="3"/>
  <c r="AB210" i="3"/>
  <c r="AF210" i="3"/>
  <c r="X211" i="3"/>
  <c r="Y211" i="3"/>
  <c r="Z211" i="3"/>
  <c r="AA211" i="3"/>
  <c r="AB211" i="3"/>
  <c r="AF211" i="3"/>
  <c r="X212" i="3"/>
  <c r="Y212" i="3"/>
  <c r="Z212" i="3"/>
  <c r="AA212" i="3"/>
  <c r="AB212" i="3"/>
  <c r="AF212" i="3"/>
  <c r="X213" i="3"/>
  <c r="Y213" i="3"/>
  <c r="Z213" i="3"/>
  <c r="AA213" i="3"/>
  <c r="AB213" i="3"/>
  <c r="AF213" i="3"/>
  <c r="X214" i="3"/>
  <c r="Y214" i="3"/>
  <c r="Z214" i="3"/>
  <c r="AA214" i="3"/>
  <c r="AB214" i="3"/>
  <c r="AF214" i="3"/>
  <c r="X215" i="3"/>
  <c r="Y215" i="3"/>
  <c r="Z215" i="3"/>
  <c r="AA215" i="3"/>
  <c r="AB215" i="3"/>
  <c r="AF215" i="3"/>
  <c r="X216" i="3"/>
  <c r="Y216" i="3"/>
  <c r="Z216" i="3"/>
  <c r="AA216" i="3"/>
  <c r="AB216" i="3"/>
  <c r="AF216" i="3"/>
  <c r="X217" i="3"/>
  <c r="Y217" i="3"/>
  <c r="Z217" i="3"/>
  <c r="AA217" i="3"/>
  <c r="AB217" i="3"/>
  <c r="AF217" i="3"/>
  <c r="X218" i="3"/>
  <c r="Y218" i="3"/>
  <c r="Z218" i="3"/>
  <c r="AA218" i="3"/>
  <c r="AB218" i="3"/>
  <c r="AF218" i="3"/>
  <c r="X219" i="3"/>
  <c r="Y219" i="3"/>
  <c r="Z219" i="3"/>
  <c r="AA219" i="3"/>
  <c r="AB219" i="3"/>
  <c r="AF219" i="3"/>
  <c r="X220" i="3"/>
  <c r="Y220" i="3"/>
  <c r="Z220" i="3"/>
  <c r="AA220" i="3"/>
  <c r="AB220" i="3"/>
  <c r="AF220" i="3"/>
  <c r="X221" i="3"/>
  <c r="Y221" i="3"/>
  <c r="Z221" i="3"/>
  <c r="AA221" i="3"/>
  <c r="AB221" i="3"/>
  <c r="AF221" i="3"/>
  <c r="X222" i="3"/>
  <c r="Y222" i="3"/>
  <c r="Z222" i="3"/>
  <c r="AA222" i="3"/>
  <c r="AB222" i="3"/>
  <c r="AF222" i="3"/>
  <c r="X223" i="3"/>
  <c r="Y223" i="3"/>
  <c r="Z223" i="3"/>
  <c r="AA223" i="3"/>
  <c r="AB223" i="3"/>
  <c r="AF223" i="3"/>
  <c r="X224" i="3"/>
  <c r="Y224" i="3"/>
  <c r="Z224" i="3"/>
  <c r="AA224" i="3"/>
  <c r="AB224" i="3"/>
  <c r="AF224" i="3"/>
  <c r="X225" i="3"/>
  <c r="Y225" i="3"/>
  <c r="Z225" i="3"/>
  <c r="AA225" i="3"/>
  <c r="AB225" i="3"/>
  <c r="AF225" i="3"/>
  <c r="X226" i="3"/>
  <c r="Y226" i="3"/>
  <c r="Z226" i="3"/>
  <c r="AA226" i="3"/>
  <c r="AB226" i="3"/>
  <c r="AF226" i="3"/>
  <c r="X227" i="3"/>
  <c r="Y227" i="3"/>
  <c r="Z227" i="3"/>
  <c r="AA227" i="3"/>
  <c r="AB227" i="3"/>
  <c r="AF227" i="3"/>
  <c r="X228" i="3"/>
  <c r="Y228" i="3"/>
  <c r="Z228" i="3"/>
  <c r="AA228" i="3"/>
  <c r="AB228" i="3"/>
  <c r="AF228" i="3"/>
  <c r="X229" i="3"/>
  <c r="Y229" i="3"/>
  <c r="Z229" i="3"/>
  <c r="AA229" i="3"/>
  <c r="AB229" i="3"/>
  <c r="AF229" i="3"/>
  <c r="X230" i="3"/>
  <c r="Y230" i="3"/>
  <c r="Z230" i="3"/>
  <c r="AA230" i="3"/>
  <c r="AB230" i="3"/>
  <c r="AF230" i="3"/>
  <c r="X231" i="3"/>
  <c r="Y231" i="3"/>
  <c r="Z231" i="3"/>
  <c r="AA231" i="3"/>
  <c r="AB231" i="3"/>
  <c r="AF231" i="3"/>
  <c r="X232" i="3"/>
  <c r="Y232" i="3"/>
  <c r="Z232" i="3"/>
  <c r="AA232" i="3"/>
  <c r="AB232" i="3"/>
  <c r="AF232" i="3"/>
  <c r="H195" i="2"/>
  <c r="AE2" i="3" l="1"/>
  <c r="AE232" i="3"/>
  <c r="AE224" i="3"/>
  <c r="AE216" i="3"/>
  <c r="AE208" i="3"/>
  <c r="AE200" i="3"/>
  <c r="AE192" i="3"/>
  <c r="AE184" i="3"/>
  <c r="AE176" i="3"/>
  <c r="AE231" i="3"/>
  <c r="AE223" i="3"/>
  <c r="AE215" i="3"/>
  <c r="AE207" i="3"/>
  <c r="AE199" i="3"/>
  <c r="AE226" i="3"/>
  <c r="AE218" i="3"/>
  <c r="AE210" i="3"/>
  <c r="AE202" i="3"/>
  <c r="AE194" i="3"/>
  <c r="AE186" i="3"/>
  <c r="AE178" i="3"/>
  <c r="AE170" i="3"/>
  <c r="AE162" i="3"/>
  <c r="AE154" i="3"/>
  <c r="AE146" i="3"/>
  <c r="AE138" i="3"/>
  <c r="AE130" i="3"/>
  <c r="AE122" i="3"/>
  <c r="AE114" i="3"/>
  <c r="AE106" i="3"/>
  <c r="AE98" i="3"/>
  <c r="AE90" i="3"/>
  <c r="AE82" i="3"/>
  <c r="AE74" i="3"/>
  <c r="AE66" i="3"/>
  <c r="AE58" i="3"/>
  <c r="AE50" i="3"/>
  <c r="AE42" i="3"/>
  <c r="AE34" i="3"/>
  <c r="AE26" i="3"/>
  <c r="AE18" i="3"/>
  <c r="AE10" i="3"/>
  <c r="AC2" i="3"/>
  <c r="AC18" i="3"/>
  <c r="AC10" i="3"/>
  <c r="AA10" i="3"/>
  <c r="Z10" i="3"/>
  <c r="AF2" i="3"/>
  <c r="AA2" i="3"/>
  <c r="AB2" i="3"/>
  <c r="Y2" i="3"/>
  <c r="Z2" i="3"/>
</calcChain>
</file>

<file path=xl/sharedStrings.xml><?xml version="1.0" encoding="utf-8"?>
<sst xmlns="http://schemas.openxmlformats.org/spreadsheetml/2006/main" count="3703" uniqueCount="320">
  <si>
    <t>NCT Number</t>
  </si>
  <si>
    <t>Publication year</t>
  </si>
  <si>
    <t>Enrollment start year</t>
  </si>
  <si>
    <t>Cancer type</t>
  </si>
  <si>
    <t>Other</t>
  </si>
  <si>
    <t>NCT03357952</t>
  </si>
  <si>
    <t>Hematologic</t>
  </si>
  <si>
    <t>immunotherapy</t>
  </si>
  <si>
    <t>n/a</t>
  </si>
  <si>
    <t>combination</t>
  </si>
  <si>
    <t>Industry</t>
  </si>
  <si>
    <t>CrCl</t>
  </si>
  <si>
    <t>Cockcroft- Gault</t>
  </si>
  <si>
    <t>NCT02801578</t>
  </si>
  <si>
    <t>Targeted therapy</t>
  </si>
  <si>
    <t>monotherapy</t>
  </si>
  <si>
    <t>Gov</t>
  </si>
  <si>
    <t>NCT02116803</t>
  </si>
  <si>
    <t>Lung</t>
  </si>
  <si>
    <t>NCT02044380</t>
  </si>
  <si>
    <t>NCT03329846</t>
  </si>
  <si>
    <t>Skin</t>
  </si>
  <si>
    <t>NCT02965378</t>
  </si>
  <si>
    <t>NCT03950674</t>
  </si>
  <si>
    <t>NCT02910063</t>
  </si>
  <si>
    <t>NCT02087059</t>
  </si>
  <si>
    <t>CrABS</t>
  </si>
  <si>
    <t>NCT03941964</t>
  </si>
  <si>
    <t>NCT03123939</t>
  </si>
  <si>
    <t>NCT02793128</t>
  </si>
  <si>
    <t>GU</t>
  </si>
  <si>
    <t>chemotherapy</t>
  </si>
  <si>
    <t>eGFR</t>
  </si>
  <si>
    <t>NCT03349333</t>
  </si>
  <si>
    <t>NCT03349710</t>
  </si>
  <si>
    <t>Head and neck</t>
  </si>
  <si>
    <t>NCT03374488</t>
  </si>
  <si>
    <t>NCT02066181</t>
  </si>
  <si>
    <t>NCT03361865</t>
  </si>
  <si>
    <t>Institutional standard</t>
  </si>
  <si>
    <t>NCT02766335</t>
  </si>
  <si>
    <t>NCT02049515</t>
  </si>
  <si>
    <t>CrULN</t>
  </si>
  <si>
    <t>NCT03635489</t>
  </si>
  <si>
    <t>Gynacologic</t>
  </si>
  <si>
    <t>NCT01926886</t>
  </si>
  <si>
    <t>Breast</t>
  </si>
  <si>
    <t>NCT02905266</t>
  </si>
  <si>
    <t>NCT02393859</t>
  </si>
  <si>
    <t>NCT02604342</t>
  </si>
  <si>
    <t>MDRD</t>
  </si>
  <si>
    <t>NCT03406156</t>
  </si>
  <si>
    <t>NCT03476239</t>
  </si>
  <si>
    <t>NCT02371369</t>
  </si>
  <si>
    <t>NCT03029234</t>
  </si>
  <si>
    <t>NCT02776683</t>
  </si>
  <si>
    <t>GI</t>
  </si>
  <si>
    <t>NCT03933449</t>
  </si>
  <si>
    <t>NCT03875092</t>
  </si>
  <si>
    <t>NCT02301156</t>
  </si>
  <si>
    <t>NCT03288987</t>
  </si>
  <si>
    <t>NCT02979899</t>
  </si>
  <si>
    <t>NCT03353753</t>
  </si>
  <si>
    <t>NCT01974752</t>
  </si>
  <si>
    <t>NCT02600923</t>
  </si>
  <si>
    <t>NCT02449239</t>
  </si>
  <si>
    <t>NCT02617485</t>
  </si>
  <si>
    <t>NCT01987505</t>
  </si>
  <si>
    <t>NCT02162771</t>
  </si>
  <si>
    <t>NCT03261999</t>
  </si>
  <si>
    <t>endocrine</t>
  </si>
  <si>
    <t>NCT02991482</t>
  </si>
  <si>
    <t>NCT03093870</t>
  </si>
  <si>
    <t>NCT03745716</t>
  </si>
  <si>
    <t>NCT02184195</t>
  </si>
  <si>
    <t>NCT02101268</t>
  </si>
  <si>
    <t>NCT02773849</t>
  </si>
  <si>
    <t>biologic agent</t>
  </si>
  <si>
    <t>NCT02726581</t>
  </si>
  <si>
    <t>NCT03410693</t>
  </si>
  <si>
    <t>NCT02165397</t>
  </si>
  <si>
    <t>NCT02545075</t>
  </si>
  <si>
    <t>NCT02989857</t>
  </si>
  <si>
    <t>NCT04173494</t>
  </si>
  <si>
    <t>NCT03414983</t>
  </si>
  <si>
    <t>NCT03053440</t>
  </si>
  <si>
    <t>Heterogenous</t>
  </si>
  <si>
    <t>NCT02027428</t>
  </si>
  <si>
    <t>NCT02231086</t>
  </si>
  <si>
    <t>NCT02279732</t>
  </si>
  <si>
    <t>NCT02980731</t>
  </si>
  <si>
    <t>NCT03126435</t>
  </si>
  <si>
    <t>NCT03106987</t>
  </si>
  <si>
    <t>NCT03149003</t>
  </si>
  <si>
    <t>NCT02264574</t>
  </si>
  <si>
    <t>NCT02611960</t>
  </si>
  <si>
    <t>NCT01940497</t>
  </si>
  <si>
    <t>NCT02383966</t>
  </si>
  <si>
    <t>NCT02896855</t>
  </si>
  <si>
    <t>NCT02709512</t>
  </si>
  <si>
    <t>NCT03286842</t>
  </si>
  <si>
    <t>NCT02747043</t>
  </si>
  <si>
    <t>NCT02756611</t>
  </si>
  <si>
    <t>NCT02260804</t>
  </si>
  <si>
    <t>NCT03850444</t>
  </si>
  <si>
    <t>NCT02282020</t>
  </si>
  <si>
    <t>NCT02737501</t>
  </si>
  <si>
    <t>NCT03402841</t>
  </si>
  <si>
    <t>NCT03150875</t>
  </si>
  <si>
    <t>NCT02755597</t>
  </si>
  <si>
    <t>NCT02920008</t>
  </si>
  <si>
    <t>NCT02142738</t>
  </si>
  <si>
    <t>NCT02563002</t>
  </si>
  <si>
    <t>NCT04066491</t>
  </si>
  <si>
    <t>NCT02809053</t>
  </si>
  <si>
    <t>NCT02472145</t>
  </si>
  <si>
    <t>NCT02586025</t>
  </si>
  <si>
    <t>NCT02578641</t>
  </si>
  <si>
    <t>NCT03197935</t>
  </si>
  <si>
    <t>NCT04109391</t>
  </si>
  <si>
    <t>NCT02606461</t>
  </si>
  <si>
    <t>NCT02855944</t>
  </si>
  <si>
    <t>NCT02627963</t>
  </si>
  <si>
    <t>NCT03629925</t>
  </si>
  <si>
    <t>industry</t>
  </si>
  <si>
    <t>NCT01938001</t>
  </si>
  <si>
    <t>NCT03594747</t>
  </si>
  <si>
    <t>NCT02105636</t>
  </si>
  <si>
    <t>NCT02788279</t>
  </si>
  <si>
    <t>NCT02713867</t>
  </si>
  <si>
    <t>NCT02631876</t>
  </si>
  <si>
    <t>NCT02039726</t>
  </si>
  <si>
    <t>NCT02864251</t>
  </si>
  <si>
    <t>NCT02625623</t>
  </si>
  <si>
    <t>NCT02714218</t>
  </si>
  <si>
    <t>NCT02987543</t>
  </si>
  <si>
    <t>NCT02005471</t>
  </si>
  <si>
    <t>NCT02213263</t>
  </si>
  <si>
    <t>NCT03607539</t>
  </si>
  <si>
    <t>NCT02435433</t>
  </si>
  <si>
    <t>NCT01974440</t>
  </si>
  <si>
    <t>NCT02702401</t>
  </si>
  <si>
    <t>NCT02907359</t>
  </si>
  <si>
    <t>NCT02436668</t>
  </si>
  <si>
    <t>NCT02864394</t>
  </si>
  <si>
    <t>NCT02545504</t>
  </si>
  <si>
    <t>NCT03262935</t>
  </si>
  <si>
    <t>NCT02898077</t>
  </si>
  <si>
    <t>NCT02954172</t>
  </si>
  <si>
    <t>NCT02421588</t>
  </si>
  <si>
    <t>NCT02131064</t>
  </si>
  <si>
    <t>NCT03061812</t>
  </si>
  <si>
    <t>NCT03066778</t>
  </si>
  <si>
    <t>NCT03191786</t>
  </si>
  <si>
    <t>NCT03726879</t>
  </si>
  <si>
    <t>NCT02347332</t>
  </si>
  <si>
    <t>NCT02562755</t>
  </si>
  <si>
    <t>NCT03042611</t>
  </si>
  <si>
    <t>NCT03158688</t>
  </si>
  <si>
    <t>NCT03465722</t>
  </si>
  <si>
    <t>NCT02412878</t>
  </si>
  <si>
    <t>NCT03098030</t>
  </si>
  <si>
    <t>NCT03088813</t>
  </si>
  <si>
    <t>NCT03151811</t>
  </si>
  <si>
    <t>NCT02252042</t>
  </si>
  <si>
    <t>NCT02625610</t>
  </si>
  <si>
    <t>NCT03493854</t>
  </si>
  <si>
    <t>T03512197</t>
  </si>
  <si>
    <t>NCT03096847</t>
  </si>
  <si>
    <t>NCT02613507</t>
  </si>
  <si>
    <t>NCT03665441</t>
  </si>
  <si>
    <t>NCT02763579</t>
  </si>
  <si>
    <t>NCT03504423</t>
  </si>
  <si>
    <t>NCT02574455</t>
  </si>
  <si>
    <t>NCT02426125</t>
  </si>
  <si>
    <t>NCT02599402</t>
  </si>
  <si>
    <t>NCT02130557</t>
  </si>
  <si>
    <t>NCT02041533</t>
  </si>
  <si>
    <t>NCT02256436</t>
  </si>
  <si>
    <t>NCT02775435</t>
  </si>
  <si>
    <t>NCT02617589</t>
  </si>
  <si>
    <t>NCT02162667</t>
  </si>
  <si>
    <t>NCT01968213</t>
  </si>
  <si>
    <t>NCT02580058</t>
  </si>
  <si>
    <t>NCT02923921</t>
  </si>
  <si>
    <t>NCT03302234</t>
  </si>
  <si>
    <t>NCT02285062</t>
  </si>
  <si>
    <t>NCT02437318</t>
  </si>
  <si>
    <t>NCT02409342</t>
  </si>
  <si>
    <t>NCT02657434</t>
  </si>
  <si>
    <t>NCT02370498</t>
  </si>
  <si>
    <t>NCT02352948</t>
  </si>
  <si>
    <t>Both</t>
  </si>
  <si>
    <t>NCT02264990</t>
  </si>
  <si>
    <t>NCT02899299</t>
  </si>
  <si>
    <t>NCT03257267</t>
  </si>
  <si>
    <t>NCT02566993</t>
  </si>
  <si>
    <t>NCT02578680</t>
  </si>
  <si>
    <t>NCT02555657</t>
  </si>
  <si>
    <t>NCT02492711</t>
  </si>
  <si>
    <t>NCT03296163</t>
  </si>
  <si>
    <t>NCT02564263</t>
  </si>
  <si>
    <t>NCT01966003</t>
  </si>
  <si>
    <t>NCT02314117</t>
  </si>
  <si>
    <t>NCT03125902</t>
  </si>
  <si>
    <t>NCT03329911</t>
  </si>
  <si>
    <t>NCT02272413</t>
  </si>
  <si>
    <t>NCT01958021</t>
  </si>
  <si>
    <t>NCT04633564</t>
  </si>
  <si>
    <t>NCT02278120</t>
  </si>
  <si>
    <t>NCT02322593</t>
  </si>
  <si>
    <t>NCT02573324</t>
  </si>
  <si>
    <t>NCT03434379</t>
  </si>
  <si>
    <t>NCT02603432</t>
  </si>
  <si>
    <t>NCT02928224</t>
  </si>
  <si>
    <t>NCT01989676</t>
  </si>
  <si>
    <t>NCT02312258</t>
  </si>
  <si>
    <t>NCT02752074</t>
  </si>
  <si>
    <t>NCT02178956</t>
  </si>
  <si>
    <t>NCT02364999</t>
  </si>
  <si>
    <t>NCT02367781</t>
  </si>
  <si>
    <t>NCT02422615</t>
  </si>
  <si>
    <t>NCT03416179</t>
  </si>
  <si>
    <t>NCT02810457</t>
  </si>
  <si>
    <t>NCT02369874</t>
  </si>
  <si>
    <t>NCT03189719</t>
  </si>
  <si>
    <t>NCT02494583</t>
  </si>
  <si>
    <t>NCT02149108</t>
  </si>
  <si>
    <t>NCT03830866</t>
  </si>
  <si>
    <t>NCT03016312</t>
  </si>
  <si>
    <t>NCT02481830</t>
  </si>
  <si>
    <t>NCT03635983</t>
  </si>
  <si>
    <t>NCT02395172</t>
  </si>
  <si>
    <t>NCT03556358</t>
  </si>
  <si>
    <t>NCT02394795</t>
  </si>
  <si>
    <t>NCT02348489</t>
  </si>
  <si>
    <t>NCT02551159</t>
  </si>
  <si>
    <t>NCT01964430</t>
  </si>
  <si>
    <t>NCT03084471</t>
  </si>
  <si>
    <t>NCT02149524</t>
  </si>
  <si>
    <t>NCT02358031</t>
  </si>
  <si>
    <t>NCT02425891</t>
  </si>
  <si>
    <t>NCT02420821</t>
  </si>
  <si>
    <t>NCT03085095</t>
  </si>
  <si>
    <t>NCT02302807</t>
  </si>
  <si>
    <t>NCT02741570</t>
  </si>
  <si>
    <t>NCT02569242</t>
  </si>
  <si>
    <t>NCT02853305</t>
  </si>
  <si>
    <t>NCT02367794</t>
  </si>
  <si>
    <t>NCT03834506</t>
  </si>
  <si>
    <t>NCT02993731</t>
  </si>
  <si>
    <t>NCT02111577</t>
  </si>
  <si>
    <t>NCT02366143</t>
  </si>
  <si>
    <t>NCT02008227</t>
  </si>
  <si>
    <t>NCT02753127</t>
  </si>
  <si>
    <t>NCT02220894</t>
  </si>
  <si>
    <t>NCT03038100</t>
  </si>
  <si>
    <t>NCT02799602</t>
  </si>
  <si>
    <t>NCT02066636</t>
  </si>
  <si>
    <t>NCT02200614</t>
  </si>
  <si>
    <t>NCT03068455</t>
  </si>
  <si>
    <t>NCT01966471</t>
  </si>
  <si>
    <t>NCT02941926</t>
  </si>
  <si>
    <t>Heterogeneous</t>
  </si>
  <si>
    <t>2013-2015</t>
  </si>
  <si>
    <t>2016-2018</t>
  </si>
  <si>
    <t>2019-2022</t>
  </si>
  <si>
    <t>Enrollment start year range</t>
  </si>
  <si>
    <t>Patients enrolled</t>
  </si>
  <si>
    <t>AA patients</t>
  </si>
  <si>
    <t>White patients</t>
  </si>
  <si>
    <t>Other patients</t>
  </si>
  <si>
    <t>Male</t>
  </si>
  <si>
    <t>Intervention type</t>
  </si>
  <si>
    <t>Combination therapy</t>
  </si>
  <si>
    <t>Sponser</t>
  </si>
  <si>
    <t>Renal exclusion crieria</t>
  </si>
  <si>
    <t>renal estimation equation</t>
  </si>
  <si>
    <t>a</t>
  </si>
  <si>
    <t>nct</t>
  </si>
  <si>
    <t>pub_year</t>
  </si>
  <si>
    <t>enrollment_start</t>
  </si>
  <si>
    <t>enrollement_range</t>
  </si>
  <si>
    <t>patients_enrolled</t>
  </si>
  <si>
    <t>aa_patients</t>
  </si>
  <si>
    <t>white_patient</t>
  </si>
  <si>
    <t>other_patient</t>
  </si>
  <si>
    <t>male</t>
  </si>
  <si>
    <t>cancer_type</t>
  </si>
  <si>
    <t>intervention_type</t>
  </si>
  <si>
    <t>therapy_combination</t>
  </si>
  <si>
    <t>sponsor_type</t>
  </si>
  <si>
    <t>renal_exclusion_criteria</t>
  </si>
  <si>
    <t>renal_equation</t>
  </si>
  <si>
    <t>crcl</t>
  </si>
  <si>
    <t>crabs</t>
  </si>
  <si>
    <t>cruln</t>
  </si>
  <si>
    <t>egfr</t>
  </si>
  <si>
    <t>heterogenous</t>
  </si>
  <si>
    <t>it</t>
  </si>
  <si>
    <t>endo</t>
  </si>
  <si>
    <t>chemo</t>
  </si>
  <si>
    <t>target</t>
  </si>
  <si>
    <t>ba</t>
  </si>
  <si>
    <t>other</t>
  </si>
  <si>
    <t>AA_percentage</t>
  </si>
  <si>
    <t>Gyn</t>
  </si>
  <si>
    <t>HN</t>
  </si>
  <si>
    <t>Heme</t>
  </si>
  <si>
    <t>CGD</t>
  </si>
  <si>
    <t>Institutional</t>
  </si>
  <si>
    <t>Hetero</t>
  </si>
  <si>
    <t>n_a_formula</t>
  </si>
  <si>
    <t>n_a_method</t>
  </si>
  <si>
    <t>X2019_2022_enrollment</t>
  </si>
  <si>
    <t>X2013_2015_enrollment</t>
  </si>
  <si>
    <t>X2016_2018_enrollment</t>
  </si>
  <si>
    <t>IOTT</t>
  </si>
  <si>
    <t>TTChemo</t>
  </si>
  <si>
    <t>IOChemo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</si>
</sst>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1" defaultTableStyle="TableStyleMedium2" defaultPivotStyle="PivotStyleLight16">
    <tableStyle name="Table Style 1" pivot="0" count="0" xr9:uid="{7E5DCFA2-423D-C842-8759-B75582A84C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lex/Downloads/eGFR_Project_12_15_2023.xlsx" TargetMode="External"/><Relationship Id="rId1" Type="http://schemas.openxmlformats.org/officeDocument/2006/relationships/externalLinkPath" Target="file:///C:/Users/rodri/Downloads/eGFR_Project_12_15_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ex/R/SPSS_GFR_Clean_3_6.xlsx" TargetMode="External"/><Relationship Id="rId1" Type="http://schemas.openxmlformats.org/officeDocument/2006/relationships/externalLinkPath" Target="SPSS_GFR_Clean_3_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Trial Data"/>
      <sheetName val="Study Characteristics_race_only"/>
      <sheetName val="Study Characteristics"/>
      <sheetName val="Subgroup racial prevalance"/>
      <sheetName val="Renal Fuction Exclusion AA 2.0"/>
      <sheetName val="Subgroup trial charac by race"/>
      <sheetName val="Race over time graph"/>
      <sheetName val="Study Flow"/>
      <sheetName val="Renal Fuction Exclusion by AA"/>
      <sheetName val="Sheet1"/>
      <sheetName val="Sheet2"/>
      <sheetName val="Original Clinical Trials Pull"/>
      <sheetName val="FDA Approved Oncology Drugs"/>
      <sheetName val="Trials w_o renal fxn"/>
    </sheetNames>
    <sheetDataSet>
      <sheetData sheetId="0">
        <row r="217">
          <cell r="G217">
            <v>1010</v>
          </cell>
          <cell r="H217">
            <v>8</v>
          </cell>
          <cell r="I217">
            <v>690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S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8D22E-B555-7548-9252-9A436A5AFD7F}" name="Table2" displayName="Table2" ref="A1:O232" totalsRowShown="0" headerRowDxfId="16" dataDxfId="15">
  <autoFilter ref="A1:O232" xr:uid="{5868D22E-B555-7548-9252-9A436A5AFD7F}"/>
  <tableColumns count="15">
    <tableColumn id="1" xr3:uid="{DA3A9A18-F3A5-7945-8597-F0A358906A12}" name="NCT Number" dataDxfId="14"/>
    <tableColumn id="2" xr3:uid="{D19EEAA7-C4D4-6047-B373-7C8DCA48E00B}" name="Publication year" dataDxfId="13"/>
    <tableColumn id="3" xr3:uid="{CECDB5CB-FAE1-8E43-845A-538169A62E36}" name="Enrollment start year" dataDxfId="12"/>
    <tableColumn id="4" xr3:uid="{BD742D03-6E06-534D-B32B-712FE77BA1A9}" name="Enrollment start year range" dataDxfId="11"/>
    <tableColumn id="5" xr3:uid="{383C5AF9-1B5B-E243-94AF-FA5FD568EF11}" name="Patients enrolled" dataDxfId="10"/>
    <tableColumn id="6" xr3:uid="{FC8AC838-5F28-8142-B6BD-6496D88243DB}" name="AA patients" dataDxfId="9"/>
    <tableColumn id="7" xr3:uid="{0300F743-D560-2643-8E28-0EE7EF25F63B}" name="White patients" dataDxfId="8"/>
    <tableColumn id="8" xr3:uid="{40E9B10E-B7C2-1848-A908-9F66D607D4EB}" name="Other patients" dataDxfId="7"/>
    <tableColumn id="9" xr3:uid="{2511E668-2F64-094D-8FC6-0DF607623863}" name="Male" dataDxfId="6"/>
    <tableColumn id="10" xr3:uid="{832B0D4C-A4B9-C440-9545-C8BAC266B282}" name="Cancer type" dataDxfId="5"/>
    <tableColumn id="11" xr3:uid="{046004EB-C251-754C-A4F2-A3843ECAC332}" name="Intervention type" dataDxfId="4"/>
    <tableColumn id="12" xr3:uid="{9B5F04CA-15E5-F24F-9897-724355E5CB12}" name="Combination therapy" dataDxfId="3"/>
    <tableColumn id="13" xr3:uid="{33A69CC8-590F-7348-A837-C652884BE790}" name="Sponser" dataDxfId="2"/>
    <tableColumn id="14" xr3:uid="{57DE200B-8772-0949-9870-54D648CB38E5}" name="Renal exclusion crieria" dataDxfId="1"/>
    <tableColumn id="15" xr3:uid="{74DD2179-4310-524F-B1ED-CD320E938E01}" name="renal estimation equ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B1DE-2D25-4DC8-80F2-80F6064BC524}">
  <dimension ref="A1:AU232"/>
  <sheetViews>
    <sheetView tabSelected="1" zoomScale="93" workbookViewId="0">
      <selection activeCell="AJ8" sqref="AJ8"/>
    </sheetView>
  </sheetViews>
  <sheetFormatPr baseColWidth="10" defaultColWidth="8.83203125" defaultRowHeight="16" x14ac:dyDescent="0.2"/>
  <cols>
    <col min="1" max="1" width="12.1640625" bestFit="1" customWidth="1"/>
    <col min="2" max="2" width="14" bestFit="1" customWidth="1"/>
    <col min="3" max="3" width="18" bestFit="1" customWidth="1"/>
    <col min="4" max="4" width="23" bestFit="1" customWidth="1"/>
    <col min="5" max="7" width="23" customWidth="1"/>
    <col min="8" max="8" width="14.6640625" bestFit="1" customWidth="1"/>
    <col min="9" max="9" width="10.1640625" bestFit="1" customWidth="1"/>
    <col min="10" max="10" width="10.1640625" customWidth="1"/>
    <col min="11" max="11" width="12.6640625" bestFit="1" customWidth="1"/>
    <col min="12" max="12" width="12.5" bestFit="1" customWidth="1"/>
    <col min="13" max="13" width="7" bestFit="1" customWidth="1"/>
    <col min="14" max="14" width="12.6640625" bestFit="1" customWidth="1"/>
    <col min="15" max="22" width="12.6640625" customWidth="1"/>
    <col min="23" max="23" width="14.6640625" bestFit="1" customWidth="1"/>
    <col min="24" max="32" width="14.6640625" customWidth="1"/>
    <col min="33" max="33" width="18.1640625" customWidth="1"/>
    <col min="34" max="34" width="9.33203125" customWidth="1"/>
    <col min="35" max="41" width="19.5" customWidth="1"/>
    <col min="42" max="42" width="22" bestFit="1" customWidth="1"/>
  </cols>
  <sheetData>
    <row r="1" spans="1:47" x14ac:dyDescent="0.2">
      <c r="A1" t="s">
        <v>279</v>
      </c>
      <c r="B1" t="s">
        <v>280</v>
      </c>
      <c r="C1" t="s">
        <v>281</v>
      </c>
      <c r="D1" t="s">
        <v>282</v>
      </c>
      <c r="E1" t="s">
        <v>315</v>
      </c>
      <c r="F1" t="s">
        <v>316</v>
      </c>
      <c r="G1" t="s">
        <v>314</v>
      </c>
      <c r="H1" t="s">
        <v>283</v>
      </c>
      <c r="I1" t="s">
        <v>284</v>
      </c>
      <c r="J1" t="s">
        <v>305</v>
      </c>
      <c r="K1" t="s">
        <v>285</v>
      </c>
      <c r="L1" t="s">
        <v>286</v>
      </c>
      <c r="M1" t="s">
        <v>287</v>
      </c>
      <c r="N1" t="s">
        <v>288</v>
      </c>
      <c r="O1" t="s">
        <v>46</v>
      </c>
      <c r="P1" t="s">
        <v>56</v>
      </c>
      <c r="Q1" t="s">
        <v>30</v>
      </c>
      <c r="R1" t="s">
        <v>306</v>
      </c>
      <c r="S1" t="s">
        <v>307</v>
      </c>
      <c r="T1" t="s">
        <v>308</v>
      </c>
      <c r="U1" t="s">
        <v>18</v>
      </c>
      <c r="V1" t="s">
        <v>21</v>
      </c>
      <c r="W1" t="s">
        <v>289</v>
      </c>
      <c r="X1" t="s">
        <v>299</v>
      </c>
      <c r="Y1" t="s">
        <v>302</v>
      </c>
      <c r="Z1" t="s">
        <v>301</v>
      </c>
      <c r="AA1" t="s">
        <v>303</v>
      </c>
      <c r="AB1" t="s">
        <v>304</v>
      </c>
      <c r="AC1" t="s">
        <v>317</v>
      </c>
      <c r="AD1" t="s">
        <v>318</v>
      </c>
      <c r="AE1" t="s">
        <v>319</v>
      </c>
      <c r="AF1" t="s">
        <v>300</v>
      </c>
      <c r="AG1" t="s">
        <v>290</v>
      </c>
      <c r="AH1" t="s">
        <v>291</v>
      </c>
      <c r="AI1" t="s">
        <v>292</v>
      </c>
      <c r="AJ1" t="s">
        <v>295</v>
      </c>
      <c r="AK1" t="s">
        <v>294</v>
      </c>
      <c r="AL1" t="s">
        <v>296</v>
      </c>
      <c r="AM1" t="s">
        <v>297</v>
      </c>
      <c r="AN1" t="s">
        <v>298</v>
      </c>
      <c r="AO1" t="s">
        <v>312</v>
      </c>
      <c r="AP1" t="s">
        <v>293</v>
      </c>
      <c r="AQ1" t="s">
        <v>309</v>
      </c>
      <c r="AR1" t="s">
        <v>50</v>
      </c>
      <c r="AS1" t="s">
        <v>310</v>
      </c>
      <c r="AT1" t="s">
        <v>311</v>
      </c>
      <c r="AU1" t="s">
        <v>313</v>
      </c>
    </row>
    <row r="2" spans="1:47" x14ac:dyDescent="0.2">
      <c r="A2" t="s">
        <v>5</v>
      </c>
      <c r="B2">
        <v>2022</v>
      </c>
      <c r="C2">
        <v>2017</v>
      </c>
      <c r="D2" t="s">
        <v>265</v>
      </c>
      <c r="E2">
        <v>0</v>
      </c>
      <c r="F2">
        <v>1</v>
      </c>
      <c r="G2">
        <v>0</v>
      </c>
      <c r="H2">
        <v>10</v>
      </c>
      <c r="I2">
        <v>1</v>
      </c>
      <c r="J2">
        <f>100*I2/H2</f>
        <v>10</v>
      </c>
      <c r="K2">
        <v>9</v>
      </c>
      <c r="L2">
        <v>0</v>
      </c>
      <c r="M2">
        <v>6</v>
      </c>
      <c r="N2" t="s">
        <v>6</v>
      </c>
      <c r="O2">
        <f>IF(ISNUMBER(SEARCH("Breast", $N$2)), 1, 0)</f>
        <v>0</v>
      </c>
      <c r="P2">
        <f>IF(ISNUMBER(SEARCH("GI", $N2)), 1, 0)</f>
        <v>1</v>
      </c>
      <c r="Q2">
        <f>IF(ISNUMBER(SEARCH("GU", $N2)), 1, 0)</f>
        <v>0</v>
      </c>
      <c r="R2">
        <f>IF(ISNUMBER(SEARCH("Gynacologic", $N2)), 1, 0)</f>
        <v>0</v>
      </c>
      <c r="S2">
        <f>IF(ISNUMBER(SEARCH("Head and neck", $N2)), 1, 0)</f>
        <v>0</v>
      </c>
      <c r="T2">
        <f>IF(ISNUMBER(SEARCH("Hematologic", $N2)), 1, 0)</f>
        <v>1</v>
      </c>
      <c r="U2">
        <f>IF(ISNUMBER(SEARCH("Lung", $N2)), 1, 0)</f>
        <v>0</v>
      </c>
      <c r="V2">
        <f>IF(ISNUMBER(SEARCH("Skin", $N2)), 1, 0)</f>
        <v>0</v>
      </c>
      <c r="W2" t="str">
        <f>VLOOKUP(A2,[2]!Table2[[NCT Number]:[Intervention type]],11,FALSE)</f>
        <v>immunotherapy+targeted therapy</v>
      </c>
      <c r="X2">
        <f>IF(ISNUMBER(SEARCH("immunotherapy", W2)), 1, 0)</f>
        <v>1</v>
      </c>
      <c r="Y2">
        <f>IF(ISNUMBER(SEARCH("Targeted therapy", W2)), 1, 0)</f>
        <v>1</v>
      </c>
      <c r="Z2">
        <f>IF(ISNUMBER(SEARCH("chemotherapy", W2)), 1, 0)</f>
        <v>0</v>
      </c>
      <c r="AA2">
        <f>IF(ISNUMBER(SEARCH("biologic agent", W2)), 1, 0)</f>
        <v>0</v>
      </c>
      <c r="AB2">
        <f>IF(ISNUMBER(FIND("Other", W2)), 1, 0)</f>
        <v>0</v>
      </c>
      <c r="AC2">
        <f>IF(ISNUMBER(SEARCH("immunotherapy+targeted therapy", W2)), 1, 0)</f>
        <v>1</v>
      </c>
      <c r="AD2">
        <f>IF(ISNUMBER(SEARCH("Targeted therapy+chemo", W2)), 1, 0)</f>
        <v>0</v>
      </c>
      <c r="AE2">
        <f>IF(ISNUMBER(SEARCH("immunotherapy+chemo", W2)), 1, 0)</f>
        <v>0</v>
      </c>
      <c r="AF2">
        <f>IF(ISNUMBER(SEARCH("endocrine", W2)), 1, 0)</f>
        <v>0</v>
      </c>
      <c r="AG2" t="s">
        <v>9</v>
      </c>
      <c r="AH2" t="s">
        <v>10</v>
      </c>
      <c r="AI2" t="s">
        <v>11</v>
      </c>
      <c r="AJ2">
        <f>IF(ISNUMBER(FIND("CrABS", AI2)), 1, 0)</f>
        <v>0</v>
      </c>
      <c r="AK2">
        <f>IF(ISNUMBER(FIND("CrCl", AI2)), 1, 0)</f>
        <v>1</v>
      </c>
      <c r="AL2">
        <f>IF(ISNUMBER(FIND("CrULN", AI2)), 1, 0)</f>
        <v>0</v>
      </c>
      <c r="AM2">
        <f>IF(ISNUMBER(FIND("eGFR", AI2)), 1, 0)</f>
        <v>0</v>
      </c>
      <c r="AN2">
        <f>IF(ISNUMBER(FIND("Heterogeneous", AI2)), 1, 0)</f>
        <v>0</v>
      </c>
      <c r="AO2">
        <f>IF(ISNUMBER(FIND("n/a", AI2)), 1, 0)</f>
        <v>0</v>
      </c>
      <c r="AP2" t="s">
        <v>12</v>
      </c>
      <c r="AQ2">
        <f>IF(ISNUMBER(FIND("Cockcroft- Gault", $AP2)), 1, 0)</f>
        <v>1</v>
      </c>
      <c r="AR2">
        <f>IF(ISNUMBER(FIND("MDRD", $AP2)), 1, 0)</f>
        <v>0</v>
      </c>
      <c r="AS2">
        <f>IF(ISNUMBER(FIND("Institutional standard", $AP2)), 1, 0)</f>
        <v>0</v>
      </c>
      <c r="AT2">
        <f>IF(ISNUMBER(FIND("Heterogenous", $AP2)), 1, 0)</f>
        <v>0</v>
      </c>
      <c r="AU2">
        <f>IF(ISNUMBER(FIND("n/a", $AP2)), 1, 0)</f>
        <v>0</v>
      </c>
    </row>
    <row r="3" spans="1:47" x14ac:dyDescent="0.2">
      <c r="A3" t="s">
        <v>13</v>
      </c>
      <c r="B3">
        <v>2019</v>
      </c>
      <c r="C3">
        <v>2016</v>
      </c>
      <c r="D3" t="s">
        <v>265</v>
      </c>
      <c r="E3">
        <v>0</v>
      </c>
      <c r="F3">
        <v>1</v>
      </c>
      <c r="G3">
        <v>0</v>
      </c>
      <c r="H3">
        <v>11</v>
      </c>
      <c r="I3">
        <v>0</v>
      </c>
      <c r="J3">
        <f t="shared" ref="J3:J66" si="0">100*I3/H3</f>
        <v>0</v>
      </c>
      <c r="K3">
        <v>11</v>
      </c>
      <c r="L3">
        <v>0</v>
      </c>
      <c r="M3">
        <v>5</v>
      </c>
      <c r="N3" t="s">
        <v>6</v>
      </c>
      <c r="O3">
        <f t="shared" ref="O3:O66" si="1">IF(ISNUMBER(SEARCH("Breast", N3)), 1, 0)</f>
        <v>0</v>
      </c>
      <c r="P3">
        <f t="shared" ref="P3:P66" si="2">IF(ISNUMBER(SEARCH("GI", $N3)), 1, 0)</f>
        <v>1</v>
      </c>
      <c r="Q3">
        <f t="shared" ref="Q3:Q66" si="3">IF(ISNUMBER(SEARCH("GU", $N3)), 1, 0)</f>
        <v>0</v>
      </c>
      <c r="R3">
        <f t="shared" ref="R3:R66" si="4">IF(ISNUMBER(SEARCH("Gynacologic", $N3)), 1, 0)</f>
        <v>0</v>
      </c>
      <c r="S3">
        <f t="shared" ref="S3:S66" si="5">IF(ISNUMBER(SEARCH("Head and neck", $N3)), 1, 0)</f>
        <v>0</v>
      </c>
      <c r="T3">
        <f t="shared" ref="T3:T66" si="6">IF(ISNUMBER(SEARCH("Hematologic", $N3)), 1, 0)</f>
        <v>1</v>
      </c>
      <c r="U3">
        <f t="shared" ref="U3:U66" si="7">IF(ISNUMBER(SEARCH("Lung", $N3)), 1, 0)</f>
        <v>0</v>
      </c>
      <c r="V3">
        <f t="shared" ref="V3:V66" si="8">IF(ISNUMBER(SEARCH("Skin", $N3)), 1, 0)</f>
        <v>0</v>
      </c>
      <c r="W3" t="str">
        <f>VLOOKUP(A3,[2]!Table2[[NCT Number]:[Intervention type]],11,FALSE)</f>
        <v>Targeted therapy</v>
      </c>
      <c r="X3">
        <f>IF(ISNUMBER(SEARCH("immunotherapy", W3)), 1, 0)</f>
        <v>0</v>
      </c>
      <c r="Y3">
        <f t="shared" ref="Y3:Y66" si="9">IF(ISNUMBER(SEARCH("Targeted therapy", W3)), 1, 0)</f>
        <v>1</v>
      </c>
      <c r="Z3">
        <f t="shared" ref="Z3:Z66" si="10">IF(ISNUMBER(SEARCH("chemotherapy", W3)), 1, 0)</f>
        <v>0</v>
      </c>
      <c r="AA3">
        <f t="shared" ref="AA3:AA66" si="11">IF(ISNUMBER(SEARCH("biologic agent", W3)), 1, 0)</f>
        <v>0</v>
      </c>
      <c r="AB3">
        <f t="shared" ref="AB3:AB66" si="12">IF(ISNUMBER(FIND("Other", W3)), 1, 0)</f>
        <v>0</v>
      </c>
      <c r="AC3">
        <f t="shared" ref="AC3:AC66" si="13">IF(ISNUMBER(SEARCH("immunotherapy+targeted therapy", W3)), 1, 0)</f>
        <v>0</v>
      </c>
      <c r="AD3">
        <f t="shared" ref="AD3:AD66" si="14">IF(ISNUMBER(SEARCH("Targeted therapy+chemo", W3)), 1, 0)</f>
        <v>0</v>
      </c>
      <c r="AE3">
        <f t="shared" ref="AE3:AE66" si="15">IF(ISNUMBER(SEARCH("immunotherapy+chemo", W3)), 1, 0)</f>
        <v>0</v>
      </c>
      <c r="AF3">
        <f>IF(ISNUMBER(SEARCH("endocrine", W3)), 1, 0)</f>
        <v>0</v>
      </c>
      <c r="AG3" t="s">
        <v>15</v>
      </c>
      <c r="AH3" t="s">
        <v>16</v>
      </c>
      <c r="AI3" t="s">
        <v>11</v>
      </c>
      <c r="AJ3">
        <f t="shared" ref="AJ3:AJ66" si="16">IF(ISNUMBER(FIND("CrABS", AI3)), 1, 0)</f>
        <v>0</v>
      </c>
      <c r="AK3">
        <f t="shared" ref="AK3:AK66" si="17">IF(ISNUMBER(FIND("CrCl", AI3)), 1, 0)</f>
        <v>1</v>
      </c>
      <c r="AL3">
        <f t="shared" ref="AL3:AL66" si="18">IF(ISNUMBER(FIND("CrULN", AI3)), 1, 0)</f>
        <v>0</v>
      </c>
      <c r="AM3">
        <f t="shared" ref="AM3:AM66" si="19">IF(ISNUMBER(FIND("eGFR", AI3)), 1, 0)</f>
        <v>0</v>
      </c>
      <c r="AN3">
        <f t="shared" ref="AN3:AN66" si="20">IF(ISNUMBER(FIND("Heterogeneous", AI3)), 1, 0)</f>
        <v>0</v>
      </c>
      <c r="AO3">
        <f t="shared" ref="AO3:AO66" si="21">IF(ISNUMBER(FIND("n/a", AI3)), 1, 0)</f>
        <v>0</v>
      </c>
      <c r="AP3" t="s">
        <v>8</v>
      </c>
      <c r="AQ3">
        <f t="shared" ref="AQ3:AQ66" si="22">IF(ISNUMBER(FIND("Cockcroft- Gault", $AP3)), 1, 0)</f>
        <v>0</v>
      </c>
      <c r="AR3">
        <f t="shared" ref="AR3:AR66" si="23">IF(ISNUMBER(FIND("MDRD", $AP3)), 1, 0)</f>
        <v>0</v>
      </c>
      <c r="AS3">
        <f t="shared" ref="AS3:AS66" si="24">IF(ISNUMBER(FIND("Institutional standard", $AP3)), 1, 0)</f>
        <v>0</v>
      </c>
      <c r="AT3">
        <f t="shared" ref="AT3:AT66" si="25">IF(ISNUMBER(FIND("Heterogenous", $AP3)), 1, 0)</f>
        <v>0</v>
      </c>
      <c r="AU3">
        <f t="shared" ref="AU3:AU66" si="26">IF(ISNUMBER(FIND("n/a", $AP3)), 1, 0)</f>
        <v>1</v>
      </c>
    </row>
    <row r="4" spans="1:47" x14ac:dyDescent="0.2">
      <c r="A4" t="s">
        <v>17</v>
      </c>
      <c r="B4">
        <v>2018</v>
      </c>
      <c r="C4">
        <v>2014</v>
      </c>
      <c r="D4" t="s">
        <v>264</v>
      </c>
      <c r="E4">
        <v>1</v>
      </c>
      <c r="F4">
        <v>0</v>
      </c>
      <c r="G4">
        <v>0</v>
      </c>
      <c r="H4">
        <v>12</v>
      </c>
      <c r="I4" t="s">
        <v>8</v>
      </c>
      <c r="J4" t="s">
        <v>8</v>
      </c>
      <c r="K4" t="s">
        <v>8</v>
      </c>
      <c r="L4" t="s">
        <v>8</v>
      </c>
      <c r="M4">
        <v>7</v>
      </c>
      <c r="N4" t="s">
        <v>18</v>
      </c>
      <c r="O4">
        <f t="shared" si="1"/>
        <v>0</v>
      </c>
      <c r="P4">
        <f t="shared" si="2"/>
        <v>0</v>
      </c>
      <c r="Q4">
        <f t="shared" si="3"/>
        <v>0</v>
      </c>
      <c r="R4">
        <f t="shared" si="4"/>
        <v>0</v>
      </c>
      <c r="S4">
        <f t="shared" si="5"/>
        <v>0</v>
      </c>
      <c r="T4">
        <f t="shared" si="6"/>
        <v>0</v>
      </c>
      <c r="U4">
        <f t="shared" si="7"/>
        <v>1</v>
      </c>
      <c r="V4">
        <f t="shared" si="8"/>
        <v>0</v>
      </c>
      <c r="W4" t="str">
        <f>VLOOKUP(A4,[2]!Table2[[NCT Number]:[Intervention type]],11,FALSE)</f>
        <v>immunotherapy</v>
      </c>
      <c r="X4">
        <f t="shared" ref="X3:X66" si="27">IF(ISNUMBER(SEARCH("immunotherapy", W4)), 1, 0)</f>
        <v>1</v>
      </c>
      <c r="Y4">
        <f t="shared" si="9"/>
        <v>0</v>
      </c>
      <c r="Z4">
        <f t="shared" si="10"/>
        <v>0</v>
      </c>
      <c r="AA4">
        <f t="shared" si="11"/>
        <v>0</v>
      </c>
      <c r="AB4">
        <f t="shared" si="12"/>
        <v>0</v>
      </c>
      <c r="AC4">
        <f t="shared" si="13"/>
        <v>0</v>
      </c>
      <c r="AD4">
        <f t="shared" si="14"/>
        <v>0</v>
      </c>
      <c r="AE4">
        <f t="shared" si="15"/>
        <v>0</v>
      </c>
      <c r="AF4">
        <f>IF(ISNUMBER(SEARCH("endocrine", W4)), 1, 0)</f>
        <v>0</v>
      </c>
      <c r="AG4" t="s">
        <v>15</v>
      </c>
      <c r="AH4" t="s">
        <v>10</v>
      </c>
      <c r="AI4" t="s">
        <v>8</v>
      </c>
      <c r="AJ4">
        <f t="shared" si="16"/>
        <v>0</v>
      </c>
      <c r="AK4">
        <f t="shared" si="17"/>
        <v>0</v>
      </c>
      <c r="AL4">
        <f t="shared" si="18"/>
        <v>0</v>
      </c>
      <c r="AM4">
        <f t="shared" si="19"/>
        <v>0</v>
      </c>
      <c r="AN4">
        <f t="shared" si="20"/>
        <v>0</v>
      </c>
      <c r="AO4">
        <f t="shared" si="21"/>
        <v>1</v>
      </c>
      <c r="AP4" t="s">
        <v>8</v>
      </c>
      <c r="AQ4">
        <f t="shared" si="22"/>
        <v>0</v>
      </c>
      <c r="AR4">
        <f t="shared" si="23"/>
        <v>0</v>
      </c>
      <c r="AS4">
        <f t="shared" si="24"/>
        <v>0</v>
      </c>
      <c r="AT4">
        <f t="shared" si="25"/>
        <v>0</v>
      </c>
      <c r="AU4">
        <f t="shared" si="26"/>
        <v>1</v>
      </c>
    </row>
    <row r="5" spans="1:47" x14ac:dyDescent="0.2">
      <c r="A5" t="s">
        <v>19</v>
      </c>
      <c r="B5">
        <v>2016</v>
      </c>
      <c r="C5">
        <v>2014</v>
      </c>
      <c r="D5" t="s">
        <v>264</v>
      </c>
      <c r="E5">
        <v>1</v>
      </c>
      <c r="F5">
        <v>0</v>
      </c>
      <c r="G5">
        <v>0</v>
      </c>
      <c r="H5">
        <v>14</v>
      </c>
      <c r="I5" t="s">
        <v>8</v>
      </c>
      <c r="J5" t="s">
        <v>8</v>
      </c>
      <c r="K5" t="s">
        <v>8</v>
      </c>
      <c r="L5" t="s">
        <v>8</v>
      </c>
      <c r="M5">
        <v>7</v>
      </c>
      <c r="N5" t="s">
        <v>18</v>
      </c>
      <c r="O5">
        <f t="shared" si="1"/>
        <v>0</v>
      </c>
      <c r="P5">
        <f t="shared" si="2"/>
        <v>0</v>
      </c>
      <c r="Q5">
        <f t="shared" si="3"/>
        <v>0</v>
      </c>
      <c r="R5">
        <f t="shared" si="4"/>
        <v>0</v>
      </c>
      <c r="S5">
        <f t="shared" si="5"/>
        <v>0</v>
      </c>
      <c r="T5">
        <f t="shared" si="6"/>
        <v>0</v>
      </c>
      <c r="U5">
        <f t="shared" si="7"/>
        <v>1</v>
      </c>
      <c r="V5">
        <f t="shared" si="8"/>
        <v>0</v>
      </c>
      <c r="W5" t="str">
        <f>VLOOKUP(A5,[2]!Table2[[NCT Number]:[Intervention type]],11,FALSE)</f>
        <v>Targeted therapy</v>
      </c>
      <c r="X5">
        <f t="shared" si="27"/>
        <v>0</v>
      </c>
      <c r="Y5">
        <f t="shared" si="9"/>
        <v>1</v>
      </c>
      <c r="Z5">
        <f t="shared" si="10"/>
        <v>0</v>
      </c>
      <c r="AA5">
        <f t="shared" si="11"/>
        <v>0</v>
      </c>
      <c r="AB5">
        <f t="shared" si="12"/>
        <v>0</v>
      </c>
      <c r="AC5">
        <f t="shared" si="13"/>
        <v>0</v>
      </c>
      <c r="AD5">
        <f t="shared" si="14"/>
        <v>0</v>
      </c>
      <c r="AE5">
        <f t="shared" si="15"/>
        <v>0</v>
      </c>
      <c r="AF5">
        <f>IF(ISNUMBER(SEARCH("endocrine", W5)), 1, 0)</f>
        <v>0</v>
      </c>
      <c r="AG5" t="s">
        <v>15</v>
      </c>
      <c r="AH5" t="s">
        <v>10</v>
      </c>
      <c r="AI5" t="s">
        <v>263</v>
      </c>
      <c r="AJ5">
        <f t="shared" si="16"/>
        <v>0</v>
      </c>
      <c r="AK5">
        <f t="shared" si="17"/>
        <v>0</v>
      </c>
      <c r="AL5">
        <f t="shared" si="18"/>
        <v>0</v>
      </c>
      <c r="AM5">
        <f t="shared" si="19"/>
        <v>0</v>
      </c>
      <c r="AN5">
        <f t="shared" si="20"/>
        <v>1</v>
      </c>
      <c r="AO5">
        <f t="shared" si="21"/>
        <v>0</v>
      </c>
      <c r="AP5" t="s">
        <v>8</v>
      </c>
      <c r="AQ5">
        <f t="shared" si="22"/>
        <v>0</v>
      </c>
      <c r="AR5">
        <f t="shared" si="23"/>
        <v>0</v>
      </c>
      <c r="AS5">
        <f t="shared" si="24"/>
        <v>0</v>
      </c>
      <c r="AT5">
        <f t="shared" si="25"/>
        <v>0</v>
      </c>
      <c r="AU5">
        <f t="shared" si="26"/>
        <v>1</v>
      </c>
    </row>
    <row r="6" spans="1:47" x14ac:dyDescent="0.2">
      <c r="A6" t="s">
        <v>20</v>
      </c>
      <c r="B6">
        <v>2021</v>
      </c>
      <c r="C6">
        <v>2017</v>
      </c>
      <c r="D6" t="s">
        <v>265</v>
      </c>
      <c r="E6">
        <v>0</v>
      </c>
      <c r="F6">
        <v>1</v>
      </c>
      <c r="G6">
        <v>0</v>
      </c>
      <c r="H6">
        <v>20</v>
      </c>
      <c r="I6">
        <v>0</v>
      </c>
      <c r="J6">
        <f t="shared" si="0"/>
        <v>0</v>
      </c>
      <c r="K6">
        <v>18</v>
      </c>
      <c r="L6" t="s">
        <v>278</v>
      </c>
      <c r="M6">
        <v>12</v>
      </c>
      <c r="N6" t="s">
        <v>21</v>
      </c>
      <c r="O6">
        <f t="shared" si="1"/>
        <v>0</v>
      </c>
      <c r="P6">
        <f t="shared" si="2"/>
        <v>0</v>
      </c>
      <c r="Q6">
        <f t="shared" si="3"/>
        <v>0</v>
      </c>
      <c r="R6">
        <f t="shared" si="4"/>
        <v>0</v>
      </c>
      <c r="S6">
        <f t="shared" si="5"/>
        <v>0</v>
      </c>
      <c r="T6">
        <f t="shared" si="6"/>
        <v>0</v>
      </c>
      <c r="U6">
        <f t="shared" si="7"/>
        <v>0</v>
      </c>
      <c r="V6">
        <f t="shared" si="8"/>
        <v>1</v>
      </c>
      <c r="W6" t="str">
        <f>VLOOKUP(A6,[2]!Table2[[NCT Number]:[Intervention type]],11,FALSE)</f>
        <v>immunotherapy</v>
      </c>
      <c r="X6">
        <f t="shared" si="27"/>
        <v>1</v>
      </c>
      <c r="Y6">
        <f t="shared" si="9"/>
        <v>0</v>
      </c>
      <c r="Z6">
        <f t="shared" si="10"/>
        <v>0</v>
      </c>
      <c r="AA6">
        <f t="shared" si="11"/>
        <v>0</v>
      </c>
      <c r="AB6">
        <f t="shared" si="12"/>
        <v>0</v>
      </c>
      <c r="AC6">
        <f t="shared" si="13"/>
        <v>0</v>
      </c>
      <c r="AD6">
        <f t="shared" si="14"/>
        <v>0</v>
      </c>
      <c r="AE6">
        <f t="shared" si="15"/>
        <v>0</v>
      </c>
      <c r="AF6">
        <f>IF(ISNUMBER(SEARCH("endocrine", W6)), 1, 0)</f>
        <v>0</v>
      </c>
      <c r="AG6" t="s">
        <v>9</v>
      </c>
      <c r="AH6" t="s">
        <v>10</v>
      </c>
      <c r="AI6" t="s">
        <v>263</v>
      </c>
      <c r="AJ6">
        <f t="shared" si="16"/>
        <v>0</v>
      </c>
      <c r="AK6">
        <f t="shared" si="17"/>
        <v>0</v>
      </c>
      <c r="AL6">
        <f t="shared" si="18"/>
        <v>0</v>
      </c>
      <c r="AM6">
        <f t="shared" si="19"/>
        <v>0</v>
      </c>
      <c r="AN6">
        <f t="shared" si="20"/>
        <v>1</v>
      </c>
      <c r="AO6">
        <f t="shared" si="21"/>
        <v>0</v>
      </c>
      <c r="AP6" t="s">
        <v>12</v>
      </c>
      <c r="AQ6">
        <f t="shared" si="22"/>
        <v>1</v>
      </c>
      <c r="AR6">
        <f t="shared" si="23"/>
        <v>0</v>
      </c>
      <c r="AS6">
        <f t="shared" si="24"/>
        <v>0</v>
      </c>
      <c r="AT6">
        <f t="shared" si="25"/>
        <v>0</v>
      </c>
      <c r="AU6">
        <f t="shared" si="26"/>
        <v>0</v>
      </c>
    </row>
    <row r="7" spans="1:47" x14ac:dyDescent="0.2">
      <c r="A7" t="s">
        <v>22</v>
      </c>
      <c r="B7">
        <v>2019</v>
      </c>
      <c r="C7">
        <v>2014</v>
      </c>
      <c r="D7" t="s">
        <v>264</v>
      </c>
      <c r="E7">
        <v>1</v>
      </c>
      <c r="F7">
        <v>0</v>
      </c>
      <c r="G7">
        <v>0</v>
      </c>
      <c r="H7">
        <v>34</v>
      </c>
      <c r="I7">
        <v>4</v>
      </c>
      <c r="J7">
        <f t="shared" si="0"/>
        <v>11.764705882352942</v>
      </c>
      <c r="K7">
        <v>30</v>
      </c>
      <c r="L7">
        <v>0</v>
      </c>
      <c r="M7">
        <v>24</v>
      </c>
      <c r="N7" t="s">
        <v>18</v>
      </c>
      <c r="O7">
        <f t="shared" si="1"/>
        <v>0</v>
      </c>
      <c r="P7">
        <f t="shared" si="2"/>
        <v>0</v>
      </c>
      <c r="Q7">
        <f t="shared" si="3"/>
        <v>0</v>
      </c>
      <c r="R7">
        <f t="shared" si="4"/>
        <v>0</v>
      </c>
      <c r="S7">
        <f t="shared" si="5"/>
        <v>0</v>
      </c>
      <c r="T7">
        <f t="shared" si="6"/>
        <v>0</v>
      </c>
      <c r="U7">
        <f t="shared" si="7"/>
        <v>1</v>
      </c>
      <c r="V7">
        <f t="shared" si="8"/>
        <v>0</v>
      </c>
      <c r="W7" t="str">
        <f>VLOOKUP(A7,[2]!Table2[[NCT Number]:[Intervention type]],11,FALSE)</f>
        <v>Targeted therapy</v>
      </c>
      <c r="X7">
        <f t="shared" si="27"/>
        <v>0</v>
      </c>
      <c r="Y7">
        <f t="shared" si="9"/>
        <v>1</v>
      </c>
      <c r="Z7">
        <f t="shared" si="10"/>
        <v>0</v>
      </c>
      <c r="AA7">
        <f t="shared" si="11"/>
        <v>0</v>
      </c>
      <c r="AB7">
        <f t="shared" si="12"/>
        <v>0</v>
      </c>
      <c r="AC7">
        <f t="shared" si="13"/>
        <v>0</v>
      </c>
      <c r="AD7">
        <f t="shared" si="14"/>
        <v>0</v>
      </c>
      <c r="AE7">
        <f t="shared" si="15"/>
        <v>0</v>
      </c>
      <c r="AF7">
        <f>IF(ISNUMBER(SEARCH("endocrine", W7)), 1, 0)</f>
        <v>0</v>
      </c>
      <c r="AG7" t="s">
        <v>15</v>
      </c>
      <c r="AH7" t="s">
        <v>16</v>
      </c>
      <c r="AI7" t="s">
        <v>263</v>
      </c>
      <c r="AJ7">
        <f t="shared" si="16"/>
        <v>0</v>
      </c>
      <c r="AK7">
        <f t="shared" si="17"/>
        <v>0</v>
      </c>
      <c r="AL7">
        <f t="shared" si="18"/>
        <v>0</v>
      </c>
      <c r="AM7">
        <f t="shared" si="19"/>
        <v>0</v>
      </c>
      <c r="AN7">
        <f t="shared" si="20"/>
        <v>1</v>
      </c>
      <c r="AO7">
        <f t="shared" si="21"/>
        <v>0</v>
      </c>
      <c r="AP7" t="s">
        <v>12</v>
      </c>
      <c r="AQ7">
        <f t="shared" si="22"/>
        <v>1</v>
      </c>
      <c r="AR7">
        <f t="shared" si="23"/>
        <v>0</v>
      </c>
      <c r="AS7">
        <f t="shared" si="24"/>
        <v>0</v>
      </c>
      <c r="AT7">
        <f t="shared" si="25"/>
        <v>0</v>
      </c>
      <c r="AU7">
        <f t="shared" si="26"/>
        <v>0</v>
      </c>
    </row>
    <row r="8" spans="1:47" x14ac:dyDescent="0.2">
      <c r="A8" t="s">
        <v>23</v>
      </c>
      <c r="B8">
        <v>2023</v>
      </c>
      <c r="C8">
        <v>2016</v>
      </c>
      <c r="D8" t="s">
        <v>265</v>
      </c>
      <c r="E8">
        <v>0</v>
      </c>
      <c r="F8">
        <v>1</v>
      </c>
      <c r="G8">
        <v>0</v>
      </c>
      <c r="H8">
        <v>40</v>
      </c>
      <c r="I8">
        <v>0</v>
      </c>
      <c r="J8">
        <f t="shared" si="0"/>
        <v>0</v>
      </c>
      <c r="K8">
        <v>0</v>
      </c>
      <c r="L8">
        <v>40</v>
      </c>
      <c r="M8">
        <v>31</v>
      </c>
      <c r="N8" t="s">
        <v>18</v>
      </c>
      <c r="O8">
        <f t="shared" si="1"/>
        <v>0</v>
      </c>
      <c r="P8">
        <f t="shared" si="2"/>
        <v>0</v>
      </c>
      <c r="Q8">
        <f t="shared" si="3"/>
        <v>0</v>
      </c>
      <c r="R8">
        <f t="shared" si="4"/>
        <v>0</v>
      </c>
      <c r="S8">
        <f t="shared" si="5"/>
        <v>0</v>
      </c>
      <c r="T8">
        <f t="shared" si="6"/>
        <v>0</v>
      </c>
      <c r="U8">
        <f t="shared" si="7"/>
        <v>1</v>
      </c>
      <c r="V8">
        <f t="shared" si="8"/>
        <v>0</v>
      </c>
      <c r="W8" t="str">
        <f>VLOOKUP(A8,[2]!Table2[[NCT Number]:[Intervention type]],11,FALSE)</f>
        <v>immunotherapy+chemo</v>
      </c>
      <c r="X8">
        <f t="shared" si="27"/>
        <v>1</v>
      </c>
      <c r="Y8">
        <f t="shared" si="9"/>
        <v>0</v>
      </c>
      <c r="Z8">
        <f t="shared" si="10"/>
        <v>0</v>
      </c>
      <c r="AA8">
        <f t="shared" si="11"/>
        <v>0</v>
      </c>
      <c r="AB8">
        <f t="shared" si="12"/>
        <v>0</v>
      </c>
      <c r="AC8">
        <f t="shared" si="13"/>
        <v>0</v>
      </c>
      <c r="AD8">
        <f t="shared" si="14"/>
        <v>0</v>
      </c>
      <c r="AE8">
        <f t="shared" si="15"/>
        <v>1</v>
      </c>
      <c r="AF8">
        <f>IF(ISNUMBER(SEARCH("endocrine", W8)), 1, 0)</f>
        <v>0</v>
      </c>
      <c r="AG8" t="s">
        <v>9</v>
      </c>
      <c r="AH8" t="s">
        <v>10</v>
      </c>
      <c r="AI8" t="s">
        <v>263</v>
      </c>
      <c r="AJ8">
        <f t="shared" si="16"/>
        <v>0</v>
      </c>
      <c r="AK8">
        <f t="shared" si="17"/>
        <v>0</v>
      </c>
      <c r="AL8">
        <f t="shared" si="18"/>
        <v>0</v>
      </c>
      <c r="AM8">
        <f t="shared" si="19"/>
        <v>0</v>
      </c>
      <c r="AN8">
        <f t="shared" si="20"/>
        <v>1</v>
      </c>
      <c r="AO8">
        <f t="shared" si="21"/>
        <v>0</v>
      </c>
      <c r="AP8" t="s">
        <v>12</v>
      </c>
      <c r="AQ8">
        <f t="shared" si="22"/>
        <v>1</v>
      </c>
      <c r="AR8">
        <f t="shared" si="23"/>
        <v>0</v>
      </c>
      <c r="AS8">
        <f t="shared" si="24"/>
        <v>0</v>
      </c>
      <c r="AT8">
        <f t="shared" si="25"/>
        <v>0</v>
      </c>
      <c r="AU8">
        <f t="shared" si="26"/>
        <v>0</v>
      </c>
    </row>
    <row r="9" spans="1:47" x14ac:dyDescent="0.2">
      <c r="A9" t="s">
        <v>24</v>
      </c>
      <c r="B9">
        <v>2020</v>
      </c>
      <c r="C9">
        <v>2017</v>
      </c>
      <c r="D9" t="s">
        <v>265</v>
      </c>
      <c r="E9">
        <v>0</v>
      </c>
      <c r="F9">
        <v>1</v>
      </c>
      <c r="G9">
        <v>0</v>
      </c>
      <c r="H9">
        <v>41</v>
      </c>
      <c r="I9">
        <v>1</v>
      </c>
      <c r="J9">
        <f t="shared" si="0"/>
        <v>2.4390243902439024</v>
      </c>
      <c r="K9">
        <v>38</v>
      </c>
      <c r="L9">
        <v>2</v>
      </c>
      <c r="M9">
        <v>28</v>
      </c>
      <c r="N9" t="s">
        <v>6</v>
      </c>
      <c r="O9">
        <f t="shared" si="1"/>
        <v>0</v>
      </c>
      <c r="P9">
        <f t="shared" si="2"/>
        <v>1</v>
      </c>
      <c r="Q9">
        <f t="shared" si="3"/>
        <v>0</v>
      </c>
      <c r="R9">
        <f t="shared" si="4"/>
        <v>0</v>
      </c>
      <c r="S9">
        <f t="shared" si="5"/>
        <v>0</v>
      </c>
      <c r="T9">
        <f t="shared" si="6"/>
        <v>1</v>
      </c>
      <c r="U9">
        <f t="shared" si="7"/>
        <v>0</v>
      </c>
      <c r="V9">
        <f t="shared" si="8"/>
        <v>0</v>
      </c>
      <c r="W9" t="str">
        <f>VLOOKUP(A9,[2]!Table2[[NCT Number]:[Intervention type]],11,FALSE)</f>
        <v>immunotherapy</v>
      </c>
      <c r="X9">
        <f t="shared" si="27"/>
        <v>1</v>
      </c>
      <c r="Y9">
        <f t="shared" si="9"/>
        <v>0</v>
      </c>
      <c r="Z9">
        <f t="shared" si="10"/>
        <v>0</v>
      </c>
      <c r="AA9">
        <f t="shared" si="11"/>
        <v>0</v>
      </c>
      <c r="AB9">
        <f t="shared" si="12"/>
        <v>0</v>
      </c>
      <c r="AC9">
        <f t="shared" si="13"/>
        <v>0</v>
      </c>
      <c r="AD9">
        <f t="shared" si="14"/>
        <v>0</v>
      </c>
      <c r="AE9">
        <f t="shared" si="15"/>
        <v>0</v>
      </c>
      <c r="AF9">
        <f>IF(ISNUMBER(SEARCH("endocrine", W9)), 1, 0)</f>
        <v>0</v>
      </c>
      <c r="AG9" t="s">
        <v>15</v>
      </c>
      <c r="AH9" t="s">
        <v>10</v>
      </c>
      <c r="AI9" t="s">
        <v>11</v>
      </c>
      <c r="AJ9">
        <f t="shared" si="16"/>
        <v>0</v>
      </c>
      <c r="AK9">
        <f t="shared" si="17"/>
        <v>1</v>
      </c>
      <c r="AL9">
        <f t="shared" si="18"/>
        <v>0</v>
      </c>
      <c r="AM9">
        <f t="shared" si="19"/>
        <v>0</v>
      </c>
      <c r="AN9">
        <f t="shared" si="20"/>
        <v>0</v>
      </c>
      <c r="AO9">
        <f t="shared" si="21"/>
        <v>0</v>
      </c>
      <c r="AP9" t="s">
        <v>12</v>
      </c>
      <c r="AQ9">
        <f t="shared" si="22"/>
        <v>1</v>
      </c>
      <c r="AR9">
        <f t="shared" si="23"/>
        <v>0</v>
      </c>
      <c r="AS9">
        <f t="shared" si="24"/>
        <v>0</v>
      </c>
      <c r="AT9">
        <f t="shared" si="25"/>
        <v>0</v>
      </c>
      <c r="AU9">
        <f t="shared" si="26"/>
        <v>0</v>
      </c>
    </row>
    <row r="10" spans="1:47" x14ac:dyDescent="0.2">
      <c r="A10" t="s">
        <v>25</v>
      </c>
      <c r="B10">
        <v>2016</v>
      </c>
      <c r="C10">
        <v>2014</v>
      </c>
      <c r="D10" t="s">
        <v>264</v>
      </c>
      <c r="E10">
        <v>1</v>
      </c>
      <c r="F10">
        <v>0</v>
      </c>
      <c r="G10">
        <v>0</v>
      </c>
      <c r="H10">
        <v>51</v>
      </c>
      <c r="I10" t="s">
        <v>8</v>
      </c>
      <c r="J10" t="s">
        <v>8</v>
      </c>
      <c r="K10" t="s">
        <v>8</v>
      </c>
      <c r="L10" t="s">
        <v>8</v>
      </c>
      <c r="M10">
        <v>27</v>
      </c>
      <c r="N10" t="s">
        <v>6</v>
      </c>
      <c r="O10">
        <f t="shared" si="1"/>
        <v>0</v>
      </c>
      <c r="P10">
        <f t="shared" si="2"/>
        <v>1</v>
      </c>
      <c r="Q10">
        <f t="shared" si="3"/>
        <v>0</v>
      </c>
      <c r="R10">
        <f t="shared" si="4"/>
        <v>0</v>
      </c>
      <c r="S10">
        <f t="shared" si="5"/>
        <v>0</v>
      </c>
      <c r="T10">
        <f t="shared" si="6"/>
        <v>1</v>
      </c>
      <c r="U10">
        <f t="shared" si="7"/>
        <v>0</v>
      </c>
      <c r="V10">
        <f t="shared" si="8"/>
        <v>0</v>
      </c>
      <c r="W10" t="str">
        <f>VLOOKUP(A10,[2]!Table2[[NCT Number]:[Intervention type]],11,FALSE)</f>
        <v>Targeted therapy</v>
      </c>
      <c r="X10">
        <f t="shared" si="27"/>
        <v>0</v>
      </c>
      <c r="Y10">
        <f t="shared" si="9"/>
        <v>1</v>
      </c>
      <c r="Z10">
        <f t="shared" si="10"/>
        <v>0</v>
      </c>
      <c r="AA10">
        <f t="shared" si="11"/>
        <v>0</v>
      </c>
      <c r="AB10">
        <f t="shared" si="12"/>
        <v>0</v>
      </c>
      <c r="AC10">
        <f t="shared" si="13"/>
        <v>0</v>
      </c>
      <c r="AD10">
        <f t="shared" si="14"/>
        <v>0</v>
      </c>
      <c r="AE10">
        <f t="shared" si="15"/>
        <v>0</v>
      </c>
      <c r="AF10">
        <f>IF(ISNUMBER(SEARCH("endocrine", W10)), 1, 0)</f>
        <v>0</v>
      </c>
      <c r="AG10" t="s">
        <v>15</v>
      </c>
      <c r="AH10" t="s">
        <v>10</v>
      </c>
      <c r="AI10" t="s">
        <v>26</v>
      </c>
      <c r="AJ10">
        <f t="shared" si="16"/>
        <v>1</v>
      </c>
      <c r="AK10">
        <f t="shared" si="17"/>
        <v>0</v>
      </c>
      <c r="AL10">
        <f t="shared" si="18"/>
        <v>0</v>
      </c>
      <c r="AM10">
        <f t="shared" si="19"/>
        <v>0</v>
      </c>
      <c r="AN10">
        <f t="shared" si="20"/>
        <v>0</v>
      </c>
      <c r="AO10">
        <f t="shared" si="21"/>
        <v>0</v>
      </c>
      <c r="AP10" t="s">
        <v>8</v>
      </c>
      <c r="AQ10">
        <f t="shared" si="22"/>
        <v>0</v>
      </c>
      <c r="AR10">
        <f t="shared" si="23"/>
        <v>0</v>
      </c>
      <c r="AS10">
        <f t="shared" si="24"/>
        <v>0</v>
      </c>
      <c r="AT10">
        <f t="shared" si="25"/>
        <v>0</v>
      </c>
      <c r="AU10">
        <f t="shared" si="26"/>
        <v>1</v>
      </c>
    </row>
    <row r="11" spans="1:47" x14ac:dyDescent="0.2">
      <c r="A11" t="s">
        <v>27</v>
      </c>
      <c r="B11">
        <v>2022</v>
      </c>
      <c r="C11">
        <v>2019</v>
      </c>
      <c r="D11" t="s">
        <v>266</v>
      </c>
      <c r="E11">
        <v>0</v>
      </c>
      <c r="F11">
        <v>0</v>
      </c>
      <c r="G11">
        <v>1</v>
      </c>
      <c r="H11">
        <v>60</v>
      </c>
      <c r="I11">
        <v>5</v>
      </c>
      <c r="J11">
        <f t="shared" si="0"/>
        <v>8.3333333333333339</v>
      </c>
      <c r="K11">
        <v>55</v>
      </c>
      <c r="L11">
        <v>0</v>
      </c>
      <c r="M11">
        <v>29</v>
      </c>
      <c r="N11" t="s">
        <v>6</v>
      </c>
      <c r="O11">
        <f t="shared" si="1"/>
        <v>0</v>
      </c>
      <c r="P11">
        <f t="shared" si="2"/>
        <v>1</v>
      </c>
      <c r="Q11">
        <f t="shared" si="3"/>
        <v>0</v>
      </c>
      <c r="R11">
        <f t="shared" si="4"/>
        <v>0</v>
      </c>
      <c r="S11">
        <f t="shared" si="5"/>
        <v>0</v>
      </c>
      <c r="T11">
        <f t="shared" si="6"/>
        <v>1</v>
      </c>
      <c r="U11">
        <f t="shared" si="7"/>
        <v>0</v>
      </c>
      <c r="V11">
        <f t="shared" si="8"/>
        <v>0</v>
      </c>
      <c r="W11" t="str">
        <f>VLOOKUP(A11,[2]!Table2[[NCT Number]:[Intervention type]],11,FALSE)</f>
        <v>Targeted therapy+chemo</v>
      </c>
      <c r="X11">
        <f t="shared" si="27"/>
        <v>0</v>
      </c>
      <c r="Y11">
        <f t="shared" si="9"/>
        <v>1</v>
      </c>
      <c r="Z11">
        <f t="shared" si="10"/>
        <v>0</v>
      </c>
      <c r="AA11">
        <f t="shared" si="11"/>
        <v>0</v>
      </c>
      <c r="AB11">
        <f t="shared" si="12"/>
        <v>0</v>
      </c>
      <c r="AC11">
        <f t="shared" si="13"/>
        <v>0</v>
      </c>
      <c r="AD11">
        <f t="shared" si="14"/>
        <v>1</v>
      </c>
      <c r="AE11">
        <f t="shared" si="15"/>
        <v>0</v>
      </c>
      <c r="AF11">
        <f>IF(ISNUMBER(SEARCH("endocrine", W11)), 1, 0)</f>
        <v>0</v>
      </c>
      <c r="AG11" t="s">
        <v>9</v>
      </c>
      <c r="AH11" t="s">
        <v>10</v>
      </c>
      <c r="AI11" t="s">
        <v>11</v>
      </c>
      <c r="AJ11">
        <f t="shared" si="16"/>
        <v>0</v>
      </c>
      <c r="AK11">
        <f t="shared" si="17"/>
        <v>1</v>
      </c>
      <c r="AL11">
        <f t="shared" si="18"/>
        <v>0</v>
      </c>
      <c r="AM11">
        <f t="shared" si="19"/>
        <v>0</v>
      </c>
      <c r="AN11">
        <f t="shared" si="20"/>
        <v>0</v>
      </c>
      <c r="AO11">
        <f t="shared" si="21"/>
        <v>0</v>
      </c>
      <c r="AP11" t="s">
        <v>12</v>
      </c>
      <c r="AQ11">
        <f t="shared" si="22"/>
        <v>1</v>
      </c>
      <c r="AR11">
        <f t="shared" si="23"/>
        <v>0</v>
      </c>
      <c r="AS11">
        <f t="shared" si="24"/>
        <v>0</v>
      </c>
      <c r="AT11">
        <f t="shared" si="25"/>
        <v>0</v>
      </c>
      <c r="AU11">
        <f t="shared" si="26"/>
        <v>0</v>
      </c>
    </row>
    <row r="12" spans="1:47" x14ac:dyDescent="0.2">
      <c r="A12" t="s">
        <v>28</v>
      </c>
      <c r="B12">
        <v>2021</v>
      </c>
      <c r="C12">
        <v>2017</v>
      </c>
      <c r="D12" t="s">
        <v>265</v>
      </c>
      <c r="E12">
        <v>0</v>
      </c>
      <c r="F12">
        <v>1</v>
      </c>
      <c r="G12">
        <v>0</v>
      </c>
      <c r="H12">
        <v>69</v>
      </c>
      <c r="I12">
        <v>2</v>
      </c>
      <c r="J12">
        <f t="shared" si="0"/>
        <v>2.8985507246376812</v>
      </c>
      <c r="K12">
        <v>52</v>
      </c>
      <c r="L12">
        <v>15</v>
      </c>
      <c r="M12">
        <v>41</v>
      </c>
      <c r="N12" t="s">
        <v>6</v>
      </c>
      <c r="O12">
        <f t="shared" si="1"/>
        <v>0</v>
      </c>
      <c r="P12">
        <f t="shared" si="2"/>
        <v>1</v>
      </c>
      <c r="Q12">
        <f t="shared" si="3"/>
        <v>0</v>
      </c>
      <c r="R12">
        <f t="shared" si="4"/>
        <v>0</v>
      </c>
      <c r="S12">
        <f t="shared" si="5"/>
        <v>0</v>
      </c>
      <c r="T12">
        <f t="shared" si="6"/>
        <v>1</v>
      </c>
      <c r="U12">
        <f t="shared" si="7"/>
        <v>0</v>
      </c>
      <c r="V12">
        <f t="shared" si="8"/>
        <v>0</v>
      </c>
      <c r="W12" t="str">
        <f>VLOOKUP(A12,[2]!Table2[[NCT Number]:[Intervention type]],11,FALSE)</f>
        <v>immunotherapy</v>
      </c>
      <c r="X12">
        <f t="shared" si="27"/>
        <v>1</v>
      </c>
      <c r="Y12">
        <f t="shared" si="9"/>
        <v>0</v>
      </c>
      <c r="Z12">
        <f t="shared" si="10"/>
        <v>0</v>
      </c>
      <c r="AA12">
        <f t="shared" si="11"/>
        <v>0</v>
      </c>
      <c r="AB12">
        <f t="shared" si="12"/>
        <v>0</v>
      </c>
      <c r="AC12">
        <f t="shared" si="13"/>
        <v>0</v>
      </c>
      <c r="AD12">
        <f t="shared" si="14"/>
        <v>0</v>
      </c>
      <c r="AE12">
        <f t="shared" si="15"/>
        <v>0</v>
      </c>
      <c r="AF12">
        <f>IF(ISNUMBER(SEARCH("endocrine", W12)), 1, 0)</f>
        <v>0</v>
      </c>
      <c r="AG12" t="s">
        <v>15</v>
      </c>
      <c r="AH12" t="s">
        <v>10</v>
      </c>
      <c r="AI12" t="s">
        <v>26</v>
      </c>
      <c r="AJ12">
        <f t="shared" si="16"/>
        <v>1</v>
      </c>
      <c r="AK12">
        <f t="shared" si="17"/>
        <v>0</v>
      </c>
      <c r="AL12">
        <f t="shared" si="18"/>
        <v>0</v>
      </c>
      <c r="AM12">
        <f t="shared" si="19"/>
        <v>0</v>
      </c>
      <c r="AN12">
        <f t="shared" si="20"/>
        <v>0</v>
      </c>
      <c r="AO12">
        <f t="shared" si="21"/>
        <v>0</v>
      </c>
      <c r="AP12" t="s">
        <v>8</v>
      </c>
      <c r="AQ12">
        <f t="shared" si="22"/>
        <v>0</v>
      </c>
      <c r="AR12">
        <f t="shared" si="23"/>
        <v>0</v>
      </c>
      <c r="AS12">
        <f t="shared" si="24"/>
        <v>0</v>
      </c>
      <c r="AT12">
        <f t="shared" si="25"/>
        <v>0</v>
      </c>
      <c r="AU12">
        <f t="shared" si="26"/>
        <v>1</v>
      </c>
    </row>
    <row r="13" spans="1:47" x14ac:dyDescent="0.2">
      <c r="A13" t="s">
        <v>29</v>
      </c>
      <c r="B13">
        <v>2020</v>
      </c>
      <c r="C13">
        <v>2017</v>
      </c>
      <c r="D13" t="s">
        <v>265</v>
      </c>
      <c r="E13">
        <v>0</v>
      </c>
      <c r="F13">
        <v>1</v>
      </c>
      <c r="G13">
        <v>0</v>
      </c>
      <c r="H13">
        <v>71</v>
      </c>
      <c r="I13">
        <v>4</v>
      </c>
      <c r="J13">
        <f t="shared" si="0"/>
        <v>5.6338028169014081</v>
      </c>
      <c r="K13">
        <v>62</v>
      </c>
      <c r="L13">
        <v>5</v>
      </c>
      <c r="M13">
        <v>48</v>
      </c>
      <c r="N13" t="s">
        <v>30</v>
      </c>
      <c r="O13">
        <f t="shared" si="1"/>
        <v>0</v>
      </c>
      <c r="P13">
        <f t="shared" si="2"/>
        <v>0</v>
      </c>
      <c r="Q13">
        <f t="shared" si="3"/>
        <v>1</v>
      </c>
      <c r="R13">
        <f t="shared" si="4"/>
        <v>0</v>
      </c>
      <c r="S13">
        <f t="shared" si="5"/>
        <v>0</v>
      </c>
      <c r="T13">
        <f t="shared" si="6"/>
        <v>0</v>
      </c>
      <c r="U13">
        <f t="shared" si="7"/>
        <v>0</v>
      </c>
      <c r="V13">
        <f t="shared" si="8"/>
        <v>0</v>
      </c>
      <c r="W13" t="str">
        <f>VLOOKUP(A13,[2]!Table2[[NCT Number]:[Intervention type]],11,FALSE)</f>
        <v>chemotherapy</v>
      </c>
      <c r="X13">
        <f t="shared" si="27"/>
        <v>0</v>
      </c>
      <c r="Y13">
        <f t="shared" si="9"/>
        <v>0</v>
      </c>
      <c r="Z13">
        <f t="shared" si="10"/>
        <v>1</v>
      </c>
      <c r="AA13">
        <f t="shared" si="11"/>
        <v>0</v>
      </c>
      <c r="AB13">
        <f t="shared" si="12"/>
        <v>0</v>
      </c>
      <c r="AC13">
        <f t="shared" si="13"/>
        <v>0</v>
      </c>
      <c r="AD13">
        <f t="shared" si="14"/>
        <v>0</v>
      </c>
      <c r="AE13">
        <f t="shared" si="15"/>
        <v>0</v>
      </c>
      <c r="AF13">
        <f>IF(ISNUMBER(SEARCH("endocrine", W13)), 1, 0)</f>
        <v>0</v>
      </c>
      <c r="AG13" t="s">
        <v>15</v>
      </c>
      <c r="AH13" t="s">
        <v>10</v>
      </c>
      <c r="AI13" t="s">
        <v>32</v>
      </c>
      <c r="AJ13">
        <f t="shared" si="16"/>
        <v>0</v>
      </c>
      <c r="AK13">
        <f t="shared" si="17"/>
        <v>0</v>
      </c>
      <c r="AL13">
        <f t="shared" si="18"/>
        <v>0</v>
      </c>
      <c r="AM13">
        <f t="shared" si="19"/>
        <v>1</v>
      </c>
      <c r="AN13">
        <f t="shared" si="20"/>
        <v>0</v>
      </c>
      <c r="AO13">
        <f t="shared" si="21"/>
        <v>0</v>
      </c>
      <c r="AP13" t="s">
        <v>8</v>
      </c>
      <c r="AQ13">
        <f t="shared" si="22"/>
        <v>0</v>
      </c>
      <c r="AR13">
        <f t="shared" si="23"/>
        <v>0</v>
      </c>
      <c r="AS13">
        <f t="shared" si="24"/>
        <v>0</v>
      </c>
      <c r="AT13">
        <f t="shared" si="25"/>
        <v>0</v>
      </c>
      <c r="AU13">
        <f t="shared" si="26"/>
        <v>1</v>
      </c>
    </row>
    <row r="14" spans="1:47" x14ac:dyDescent="0.2">
      <c r="A14" t="s">
        <v>33</v>
      </c>
      <c r="B14">
        <v>2019</v>
      </c>
      <c r="C14">
        <v>2015</v>
      </c>
      <c r="D14" t="s">
        <v>264</v>
      </c>
      <c r="E14">
        <v>1</v>
      </c>
      <c r="F14">
        <v>0</v>
      </c>
      <c r="G14">
        <v>0</v>
      </c>
      <c r="H14">
        <v>71</v>
      </c>
      <c r="I14">
        <v>0</v>
      </c>
      <c r="J14">
        <f t="shared" si="0"/>
        <v>0</v>
      </c>
      <c r="K14">
        <v>0</v>
      </c>
      <c r="L14">
        <v>71</v>
      </c>
      <c r="M14">
        <v>47</v>
      </c>
      <c r="N14" t="s">
        <v>6</v>
      </c>
      <c r="O14">
        <f t="shared" si="1"/>
        <v>0</v>
      </c>
      <c r="P14">
        <f t="shared" si="2"/>
        <v>1</v>
      </c>
      <c r="Q14">
        <f t="shared" si="3"/>
        <v>0</v>
      </c>
      <c r="R14">
        <f t="shared" si="4"/>
        <v>0</v>
      </c>
      <c r="S14">
        <f t="shared" si="5"/>
        <v>0</v>
      </c>
      <c r="T14">
        <f t="shared" si="6"/>
        <v>1</v>
      </c>
      <c r="U14">
        <f t="shared" si="7"/>
        <v>0</v>
      </c>
      <c r="V14">
        <f t="shared" si="8"/>
        <v>0</v>
      </c>
      <c r="W14" t="str">
        <f>VLOOKUP(A14,[2]!Table2[[NCT Number]:[Intervention type]],11,FALSE)</f>
        <v>chemotherapy</v>
      </c>
      <c r="X14">
        <f t="shared" si="27"/>
        <v>0</v>
      </c>
      <c r="Y14">
        <f t="shared" si="9"/>
        <v>0</v>
      </c>
      <c r="Z14">
        <f t="shared" si="10"/>
        <v>1</v>
      </c>
      <c r="AA14">
        <f t="shared" si="11"/>
        <v>0</v>
      </c>
      <c r="AB14">
        <f t="shared" si="12"/>
        <v>0</v>
      </c>
      <c r="AC14">
        <f t="shared" si="13"/>
        <v>0</v>
      </c>
      <c r="AD14">
        <f t="shared" si="14"/>
        <v>0</v>
      </c>
      <c r="AE14">
        <f t="shared" si="15"/>
        <v>0</v>
      </c>
      <c r="AF14">
        <f>IF(ISNUMBER(SEARCH("endocrine", W14)), 1, 0)</f>
        <v>0</v>
      </c>
      <c r="AG14" t="s">
        <v>15</v>
      </c>
      <c r="AH14" t="s">
        <v>10</v>
      </c>
      <c r="AI14" t="s">
        <v>263</v>
      </c>
      <c r="AJ14">
        <f t="shared" si="16"/>
        <v>0</v>
      </c>
      <c r="AK14">
        <f t="shared" si="17"/>
        <v>0</v>
      </c>
      <c r="AL14">
        <f t="shared" si="18"/>
        <v>0</v>
      </c>
      <c r="AM14">
        <f t="shared" si="19"/>
        <v>0</v>
      </c>
      <c r="AN14">
        <f t="shared" si="20"/>
        <v>1</v>
      </c>
      <c r="AO14">
        <f t="shared" si="21"/>
        <v>0</v>
      </c>
      <c r="AP14" t="s">
        <v>12</v>
      </c>
      <c r="AQ14">
        <f t="shared" si="22"/>
        <v>1</v>
      </c>
      <c r="AR14">
        <f t="shared" si="23"/>
        <v>0</v>
      </c>
      <c r="AS14">
        <f t="shared" si="24"/>
        <v>0</v>
      </c>
      <c r="AT14">
        <f t="shared" si="25"/>
        <v>0</v>
      </c>
      <c r="AU14">
        <f t="shared" si="26"/>
        <v>0</v>
      </c>
    </row>
    <row r="15" spans="1:47" x14ac:dyDescent="0.2">
      <c r="A15" t="s">
        <v>34</v>
      </c>
      <c r="B15">
        <v>2019</v>
      </c>
      <c r="C15">
        <v>2017</v>
      </c>
      <c r="D15" t="s">
        <v>265</v>
      </c>
      <c r="E15">
        <v>0</v>
      </c>
      <c r="F15">
        <v>1</v>
      </c>
      <c r="G15">
        <v>0</v>
      </c>
      <c r="H15">
        <v>74</v>
      </c>
      <c r="I15">
        <v>2</v>
      </c>
      <c r="J15">
        <f t="shared" si="0"/>
        <v>2.7027027027027026</v>
      </c>
      <c r="K15">
        <v>36</v>
      </c>
      <c r="L15">
        <v>36</v>
      </c>
      <c r="M15">
        <v>65</v>
      </c>
      <c r="N15" t="s">
        <v>35</v>
      </c>
      <c r="O15">
        <f t="shared" si="1"/>
        <v>0</v>
      </c>
      <c r="P15">
        <f t="shared" si="2"/>
        <v>0</v>
      </c>
      <c r="Q15">
        <f t="shared" si="3"/>
        <v>0</v>
      </c>
      <c r="R15">
        <f t="shared" si="4"/>
        <v>0</v>
      </c>
      <c r="S15">
        <f t="shared" si="5"/>
        <v>1</v>
      </c>
      <c r="T15">
        <f t="shared" si="6"/>
        <v>0</v>
      </c>
      <c r="U15">
        <f t="shared" si="7"/>
        <v>0</v>
      </c>
      <c r="V15">
        <f t="shared" si="8"/>
        <v>0</v>
      </c>
      <c r="W15" t="str">
        <f>VLOOKUP(A15,[2]!Table2[[NCT Number]:[Intervention type]],11,FALSE)</f>
        <v>immunotherapy+chemo</v>
      </c>
      <c r="X15">
        <f t="shared" si="27"/>
        <v>1</v>
      </c>
      <c r="Y15">
        <f t="shared" si="9"/>
        <v>0</v>
      </c>
      <c r="Z15">
        <f t="shared" si="10"/>
        <v>0</v>
      </c>
      <c r="AA15">
        <f t="shared" si="11"/>
        <v>0</v>
      </c>
      <c r="AB15">
        <f t="shared" si="12"/>
        <v>0</v>
      </c>
      <c r="AC15">
        <f t="shared" si="13"/>
        <v>0</v>
      </c>
      <c r="AD15">
        <f t="shared" si="14"/>
        <v>0</v>
      </c>
      <c r="AE15">
        <f t="shared" si="15"/>
        <v>1</v>
      </c>
      <c r="AF15">
        <f>IF(ISNUMBER(SEARCH("endocrine", W15)), 1, 0)</f>
        <v>0</v>
      </c>
      <c r="AG15" t="s">
        <v>9</v>
      </c>
      <c r="AH15" t="s">
        <v>10</v>
      </c>
      <c r="AI15" t="s">
        <v>11</v>
      </c>
      <c r="AJ15">
        <f t="shared" si="16"/>
        <v>0</v>
      </c>
      <c r="AK15">
        <f t="shared" si="17"/>
        <v>1</v>
      </c>
      <c r="AL15">
        <f t="shared" si="18"/>
        <v>0</v>
      </c>
      <c r="AM15">
        <f t="shared" si="19"/>
        <v>0</v>
      </c>
      <c r="AN15">
        <f t="shared" si="20"/>
        <v>0</v>
      </c>
      <c r="AO15">
        <f t="shared" si="21"/>
        <v>0</v>
      </c>
      <c r="AP15" t="s">
        <v>12</v>
      </c>
      <c r="AQ15">
        <f t="shared" si="22"/>
        <v>1</v>
      </c>
      <c r="AR15">
        <f t="shared" si="23"/>
        <v>0</v>
      </c>
      <c r="AS15">
        <f t="shared" si="24"/>
        <v>0</v>
      </c>
      <c r="AT15">
        <f t="shared" si="25"/>
        <v>0</v>
      </c>
      <c r="AU15">
        <f t="shared" si="26"/>
        <v>0</v>
      </c>
    </row>
    <row r="16" spans="1:47" x14ac:dyDescent="0.2">
      <c r="A16" t="s">
        <v>36</v>
      </c>
      <c r="B16">
        <v>2020</v>
      </c>
      <c r="C16">
        <v>2017</v>
      </c>
      <c r="D16" t="s">
        <v>265</v>
      </c>
      <c r="E16">
        <v>0</v>
      </c>
      <c r="F16">
        <v>1</v>
      </c>
      <c r="G16">
        <v>0</v>
      </c>
      <c r="H16">
        <v>84</v>
      </c>
      <c r="I16" t="s">
        <v>8</v>
      </c>
      <c r="J16" t="s">
        <v>8</v>
      </c>
      <c r="K16">
        <v>67</v>
      </c>
      <c r="L16">
        <v>17</v>
      </c>
      <c r="M16">
        <v>72</v>
      </c>
      <c r="N16" t="s">
        <v>30</v>
      </c>
      <c r="O16">
        <f t="shared" si="1"/>
        <v>0</v>
      </c>
      <c r="P16">
        <f t="shared" si="2"/>
        <v>0</v>
      </c>
      <c r="Q16">
        <f t="shared" si="3"/>
        <v>1</v>
      </c>
      <c r="R16">
        <f t="shared" si="4"/>
        <v>0</v>
      </c>
      <c r="S16">
        <f t="shared" si="5"/>
        <v>0</v>
      </c>
      <c r="T16">
        <f t="shared" si="6"/>
        <v>0</v>
      </c>
      <c r="U16">
        <f t="shared" si="7"/>
        <v>0</v>
      </c>
      <c r="V16">
        <f t="shared" si="8"/>
        <v>0</v>
      </c>
      <c r="W16" t="str">
        <f>VLOOKUP(A16,[2]!Table2[[NCT Number]:[Intervention type]],11,FALSE)</f>
        <v>immunotherapy+targeted therapy</v>
      </c>
      <c r="X16">
        <f t="shared" si="27"/>
        <v>1</v>
      </c>
      <c r="Y16">
        <f t="shared" si="9"/>
        <v>1</v>
      </c>
      <c r="Z16">
        <f t="shared" si="10"/>
        <v>0</v>
      </c>
      <c r="AA16">
        <f t="shared" si="11"/>
        <v>0</v>
      </c>
      <c r="AB16">
        <f t="shared" si="12"/>
        <v>0</v>
      </c>
      <c r="AC16">
        <f t="shared" si="13"/>
        <v>1</v>
      </c>
      <c r="AD16">
        <f t="shared" si="14"/>
        <v>0</v>
      </c>
      <c r="AE16">
        <f t="shared" si="15"/>
        <v>0</v>
      </c>
      <c r="AF16">
        <f>IF(ISNUMBER(SEARCH("endocrine", W16)), 1, 0)</f>
        <v>0</v>
      </c>
      <c r="AG16" t="s">
        <v>9</v>
      </c>
      <c r="AH16" t="s">
        <v>10</v>
      </c>
      <c r="AI16" t="s">
        <v>263</v>
      </c>
      <c r="AJ16">
        <f t="shared" si="16"/>
        <v>0</v>
      </c>
      <c r="AK16">
        <f t="shared" si="17"/>
        <v>0</v>
      </c>
      <c r="AL16">
        <f t="shared" si="18"/>
        <v>0</v>
      </c>
      <c r="AM16">
        <f t="shared" si="19"/>
        <v>0</v>
      </c>
      <c r="AN16">
        <f t="shared" si="20"/>
        <v>1</v>
      </c>
      <c r="AO16">
        <f t="shared" si="21"/>
        <v>0</v>
      </c>
      <c r="AP16" t="s">
        <v>8</v>
      </c>
      <c r="AQ16">
        <f t="shared" si="22"/>
        <v>0</v>
      </c>
      <c r="AR16">
        <f t="shared" si="23"/>
        <v>0</v>
      </c>
      <c r="AS16">
        <f t="shared" si="24"/>
        <v>0</v>
      </c>
      <c r="AT16">
        <f t="shared" si="25"/>
        <v>0</v>
      </c>
      <c r="AU16">
        <f t="shared" si="26"/>
        <v>1</v>
      </c>
    </row>
    <row r="17" spans="1:47" x14ac:dyDescent="0.2">
      <c r="A17" t="s">
        <v>37</v>
      </c>
      <c r="B17">
        <v>2022</v>
      </c>
      <c r="C17">
        <v>2014</v>
      </c>
      <c r="D17" t="s">
        <v>264</v>
      </c>
      <c r="E17">
        <v>1</v>
      </c>
      <c r="F17">
        <v>0</v>
      </c>
      <c r="G17">
        <v>0</v>
      </c>
      <c r="H17">
        <v>87</v>
      </c>
      <c r="I17">
        <v>9</v>
      </c>
      <c r="J17">
        <f t="shared" si="0"/>
        <v>10.344827586206897</v>
      </c>
      <c r="K17">
        <v>70</v>
      </c>
      <c r="L17">
        <v>8</v>
      </c>
      <c r="M17">
        <v>27</v>
      </c>
      <c r="N17" t="s">
        <v>21</v>
      </c>
      <c r="O17">
        <f t="shared" si="1"/>
        <v>0</v>
      </c>
      <c r="P17">
        <f t="shared" si="2"/>
        <v>0</v>
      </c>
      <c r="Q17">
        <f t="shared" si="3"/>
        <v>0</v>
      </c>
      <c r="R17">
        <f t="shared" si="4"/>
        <v>0</v>
      </c>
      <c r="S17">
        <f t="shared" si="5"/>
        <v>0</v>
      </c>
      <c r="T17">
        <f t="shared" si="6"/>
        <v>0</v>
      </c>
      <c r="U17">
        <f t="shared" si="7"/>
        <v>0</v>
      </c>
      <c r="V17">
        <f t="shared" si="8"/>
        <v>1</v>
      </c>
      <c r="W17" t="str">
        <f>VLOOKUP(A17,[2]!Table2[[NCT Number]:[Intervention type]],11,FALSE)</f>
        <v>Targeted therapy</v>
      </c>
      <c r="X17">
        <f t="shared" si="27"/>
        <v>0</v>
      </c>
      <c r="Y17">
        <f t="shared" si="9"/>
        <v>1</v>
      </c>
      <c r="Z17">
        <f t="shared" si="10"/>
        <v>0</v>
      </c>
      <c r="AA17">
        <f t="shared" si="11"/>
        <v>0</v>
      </c>
      <c r="AB17">
        <f t="shared" si="12"/>
        <v>0</v>
      </c>
      <c r="AC17">
        <f t="shared" si="13"/>
        <v>0</v>
      </c>
      <c r="AD17">
        <f t="shared" si="14"/>
        <v>0</v>
      </c>
      <c r="AE17">
        <f t="shared" si="15"/>
        <v>0</v>
      </c>
      <c r="AF17">
        <f>IF(ISNUMBER(SEARCH("endocrine", W17)), 1, 0)</f>
        <v>0</v>
      </c>
      <c r="AG17" t="s">
        <v>15</v>
      </c>
      <c r="AH17" t="s">
        <v>16</v>
      </c>
      <c r="AI17" t="s">
        <v>11</v>
      </c>
      <c r="AJ17">
        <f t="shared" si="16"/>
        <v>0</v>
      </c>
      <c r="AK17">
        <f t="shared" si="17"/>
        <v>1</v>
      </c>
      <c r="AL17">
        <f t="shared" si="18"/>
        <v>0</v>
      </c>
      <c r="AM17">
        <f t="shared" si="19"/>
        <v>0</v>
      </c>
      <c r="AN17">
        <f t="shared" si="20"/>
        <v>0</v>
      </c>
      <c r="AO17">
        <f t="shared" si="21"/>
        <v>0</v>
      </c>
      <c r="AP17" t="s">
        <v>12</v>
      </c>
      <c r="AQ17">
        <f t="shared" si="22"/>
        <v>1</v>
      </c>
      <c r="AR17">
        <f t="shared" si="23"/>
        <v>0</v>
      </c>
      <c r="AS17">
        <f t="shared" si="24"/>
        <v>0</v>
      </c>
      <c r="AT17">
        <f t="shared" si="25"/>
        <v>0</v>
      </c>
      <c r="AU17">
        <f t="shared" si="26"/>
        <v>0</v>
      </c>
    </row>
    <row r="18" spans="1:47" x14ac:dyDescent="0.2">
      <c r="A18" t="s">
        <v>38</v>
      </c>
      <c r="B18">
        <v>2019</v>
      </c>
      <c r="C18">
        <v>2017</v>
      </c>
      <c r="D18" t="s">
        <v>265</v>
      </c>
      <c r="E18">
        <v>0</v>
      </c>
      <c r="F18">
        <v>1</v>
      </c>
      <c r="G18">
        <v>0</v>
      </c>
      <c r="H18">
        <v>93</v>
      </c>
      <c r="I18" t="s">
        <v>8</v>
      </c>
      <c r="J18" t="s">
        <v>8</v>
      </c>
      <c r="K18">
        <v>70</v>
      </c>
      <c r="L18">
        <v>23</v>
      </c>
      <c r="M18">
        <v>71</v>
      </c>
      <c r="N18" t="s">
        <v>30</v>
      </c>
      <c r="O18">
        <f t="shared" si="1"/>
        <v>0</v>
      </c>
      <c r="P18">
        <f t="shared" si="2"/>
        <v>0</v>
      </c>
      <c r="Q18">
        <f t="shared" si="3"/>
        <v>1</v>
      </c>
      <c r="R18">
        <f t="shared" si="4"/>
        <v>0</v>
      </c>
      <c r="S18">
        <f t="shared" si="5"/>
        <v>0</v>
      </c>
      <c r="T18">
        <f t="shared" si="6"/>
        <v>0</v>
      </c>
      <c r="U18">
        <f t="shared" si="7"/>
        <v>0</v>
      </c>
      <c r="V18">
        <f t="shared" si="8"/>
        <v>0</v>
      </c>
      <c r="W18" t="str">
        <f>VLOOKUP(A18,[2]!Table2[[NCT Number]:[Intervention type]],11,FALSE)</f>
        <v>immunotherapy+targeted therapy</v>
      </c>
      <c r="X18">
        <f t="shared" si="27"/>
        <v>1</v>
      </c>
      <c r="Y18">
        <f t="shared" si="9"/>
        <v>1</v>
      </c>
      <c r="Z18">
        <f t="shared" si="10"/>
        <v>0</v>
      </c>
      <c r="AA18">
        <f t="shared" si="11"/>
        <v>0</v>
      </c>
      <c r="AB18">
        <f t="shared" si="12"/>
        <v>0</v>
      </c>
      <c r="AC18">
        <f t="shared" si="13"/>
        <v>1</v>
      </c>
      <c r="AD18">
        <f t="shared" si="14"/>
        <v>0</v>
      </c>
      <c r="AE18">
        <f t="shared" si="15"/>
        <v>0</v>
      </c>
      <c r="AF18">
        <f>IF(ISNUMBER(SEARCH("endocrine", W18)), 1, 0)</f>
        <v>0</v>
      </c>
      <c r="AG18" t="s">
        <v>9</v>
      </c>
      <c r="AH18" t="s">
        <v>10</v>
      </c>
      <c r="AI18" t="s">
        <v>263</v>
      </c>
      <c r="AJ18">
        <f t="shared" si="16"/>
        <v>0</v>
      </c>
      <c r="AK18">
        <f t="shared" si="17"/>
        <v>0</v>
      </c>
      <c r="AL18">
        <f t="shared" si="18"/>
        <v>0</v>
      </c>
      <c r="AM18">
        <f t="shared" si="19"/>
        <v>0</v>
      </c>
      <c r="AN18">
        <f t="shared" si="20"/>
        <v>1</v>
      </c>
      <c r="AO18">
        <f t="shared" si="21"/>
        <v>0</v>
      </c>
      <c r="AP18" t="s">
        <v>39</v>
      </c>
      <c r="AQ18">
        <f t="shared" si="22"/>
        <v>0</v>
      </c>
      <c r="AR18">
        <f t="shared" si="23"/>
        <v>0</v>
      </c>
      <c r="AS18">
        <f t="shared" si="24"/>
        <v>1</v>
      </c>
      <c r="AT18">
        <f t="shared" si="25"/>
        <v>0</v>
      </c>
      <c r="AU18">
        <f t="shared" si="26"/>
        <v>0</v>
      </c>
    </row>
    <row r="19" spans="1:47" x14ac:dyDescent="0.2">
      <c r="A19" t="s">
        <v>40</v>
      </c>
      <c r="B19">
        <v>2020</v>
      </c>
      <c r="C19">
        <v>2014</v>
      </c>
      <c r="D19" t="s">
        <v>264</v>
      </c>
      <c r="E19">
        <v>1</v>
      </c>
      <c r="F19">
        <v>0</v>
      </c>
      <c r="G19">
        <v>0</v>
      </c>
      <c r="H19">
        <v>98</v>
      </c>
      <c r="I19">
        <v>7</v>
      </c>
      <c r="J19">
        <f t="shared" si="0"/>
        <v>7.1428571428571432</v>
      </c>
      <c r="K19">
        <v>82</v>
      </c>
      <c r="L19">
        <v>9</v>
      </c>
      <c r="M19">
        <v>61</v>
      </c>
      <c r="N19" t="s">
        <v>18</v>
      </c>
      <c r="O19">
        <f t="shared" si="1"/>
        <v>0</v>
      </c>
      <c r="P19">
        <f t="shared" si="2"/>
        <v>0</v>
      </c>
      <c r="Q19">
        <f t="shared" si="3"/>
        <v>0</v>
      </c>
      <c r="R19">
        <f t="shared" si="4"/>
        <v>0</v>
      </c>
      <c r="S19">
        <f t="shared" si="5"/>
        <v>0</v>
      </c>
      <c r="T19">
        <f t="shared" si="6"/>
        <v>0</v>
      </c>
      <c r="U19">
        <f t="shared" si="7"/>
        <v>1</v>
      </c>
      <c r="V19">
        <f t="shared" si="8"/>
        <v>0</v>
      </c>
      <c r="W19" t="str">
        <f>VLOOKUP(A19,[2]!Table2[[NCT Number]:[Intervention type]],11,FALSE)</f>
        <v>immunotherapy</v>
      </c>
      <c r="X19">
        <f t="shared" si="27"/>
        <v>1</v>
      </c>
      <c r="Y19">
        <f t="shared" si="9"/>
        <v>0</v>
      </c>
      <c r="Z19">
        <f t="shared" si="10"/>
        <v>0</v>
      </c>
      <c r="AA19">
        <f t="shared" si="11"/>
        <v>0</v>
      </c>
      <c r="AB19">
        <f t="shared" si="12"/>
        <v>0</v>
      </c>
      <c r="AC19">
        <f t="shared" si="13"/>
        <v>0</v>
      </c>
      <c r="AD19">
        <f t="shared" si="14"/>
        <v>0</v>
      </c>
      <c r="AE19">
        <f t="shared" si="15"/>
        <v>0</v>
      </c>
      <c r="AF19">
        <f>IF(ISNUMBER(SEARCH("endocrine", W19)), 1, 0)</f>
        <v>0</v>
      </c>
      <c r="AG19" t="s">
        <v>15</v>
      </c>
      <c r="AH19" t="s">
        <v>10</v>
      </c>
      <c r="AI19" t="s">
        <v>263</v>
      </c>
      <c r="AJ19">
        <f t="shared" si="16"/>
        <v>0</v>
      </c>
      <c r="AK19">
        <f t="shared" si="17"/>
        <v>0</v>
      </c>
      <c r="AL19">
        <f t="shared" si="18"/>
        <v>0</v>
      </c>
      <c r="AM19">
        <f t="shared" si="19"/>
        <v>0</v>
      </c>
      <c r="AN19">
        <f t="shared" si="20"/>
        <v>1</v>
      </c>
      <c r="AO19">
        <f t="shared" si="21"/>
        <v>0</v>
      </c>
      <c r="AP19" t="s">
        <v>12</v>
      </c>
      <c r="AQ19">
        <f t="shared" si="22"/>
        <v>1</v>
      </c>
      <c r="AR19">
        <f t="shared" si="23"/>
        <v>0</v>
      </c>
      <c r="AS19">
        <f t="shared" si="24"/>
        <v>0</v>
      </c>
      <c r="AT19">
        <f t="shared" si="25"/>
        <v>0</v>
      </c>
      <c r="AU19">
        <f t="shared" si="26"/>
        <v>0</v>
      </c>
    </row>
    <row r="20" spans="1:47" x14ac:dyDescent="0.2">
      <c r="A20" t="s">
        <v>41</v>
      </c>
      <c r="B20">
        <v>2023</v>
      </c>
      <c r="C20">
        <v>2013</v>
      </c>
      <c r="D20" t="s">
        <v>264</v>
      </c>
      <c r="E20">
        <v>1</v>
      </c>
      <c r="F20">
        <v>0</v>
      </c>
      <c r="G20">
        <v>0</v>
      </c>
      <c r="H20">
        <v>99</v>
      </c>
      <c r="I20">
        <v>0</v>
      </c>
      <c r="J20">
        <f t="shared" si="0"/>
        <v>0</v>
      </c>
      <c r="K20">
        <v>91</v>
      </c>
      <c r="L20">
        <v>8</v>
      </c>
      <c r="M20">
        <v>62</v>
      </c>
      <c r="N20" t="s">
        <v>6</v>
      </c>
      <c r="O20">
        <f t="shared" si="1"/>
        <v>0</v>
      </c>
      <c r="P20">
        <f t="shared" si="2"/>
        <v>1</v>
      </c>
      <c r="Q20">
        <f t="shared" si="3"/>
        <v>0</v>
      </c>
      <c r="R20">
        <f t="shared" si="4"/>
        <v>0</v>
      </c>
      <c r="S20">
        <f t="shared" si="5"/>
        <v>0</v>
      </c>
      <c r="T20">
        <f t="shared" si="6"/>
        <v>1</v>
      </c>
      <c r="U20">
        <f t="shared" si="7"/>
        <v>0</v>
      </c>
      <c r="V20">
        <f t="shared" si="8"/>
        <v>0</v>
      </c>
      <c r="W20" t="str">
        <f>VLOOKUP(A20,[2]!Table2[[NCT Number]:[Intervention type]],11,FALSE)</f>
        <v>Targeted therapy</v>
      </c>
      <c r="X20">
        <f t="shared" si="27"/>
        <v>0</v>
      </c>
      <c r="Y20">
        <f t="shared" si="9"/>
        <v>1</v>
      </c>
      <c r="Z20">
        <f t="shared" si="10"/>
        <v>0</v>
      </c>
      <c r="AA20">
        <f t="shared" si="11"/>
        <v>0</v>
      </c>
      <c r="AB20">
        <f t="shared" si="12"/>
        <v>0</v>
      </c>
      <c r="AC20">
        <f t="shared" si="13"/>
        <v>0</v>
      </c>
      <c r="AD20">
        <f t="shared" si="14"/>
        <v>0</v>
      </c>
      <c r="AE20">
        <f t="shared" si="15"/>
        <v>0</v>
      </c>
      <c r="AF20">
        <f>IF(ISNUMBER(SEARCH("endocrine", W20)), 1, 0)</f>
        <v>0</v>
      </c>
      <c r="AG20" t="s">
        <v>9</v>
      </c>
      <c r="AH20" t="s">
        <v>10</v>
      </c>
      <c r="AI20" t="s">
        <v>42</v>
      </c>
      <c r="AJ20">
        <f t="shared" si="16"/>
        <v>0</v>
      </c>
      <c r="AK20">
        <f t="shared" si="17"/>
        <v>0</v>
      </c>
      <c r="AL20">
        <f t="shared" si="18"/>
        <v>1</v>
      </c>
      <c r="AM20">
        <f t="shared" si="19"/>
        <v>0</v>
      </c>
      <c r="AN20">
        <f t="shared" si="20"/>
        <v>0</v>
      </c>
      <c r="AO20">
        <f t="shared" si="21"/>
        <v>0</v>
      </c>
      <c r="AP20" t="s">
        <v>8</v>
      </c>
      <c r="AQ20">
        <f t="shared" si="22"/>
        <v>0</v>
      </c>
      <c r="AR20">
        <f t="shared" si="23"/>
        <v>0</v>
      </c>
      <c r="AS20">
        <f t="shared" si="24"/>
        <v>0</v>
      </c>
      <c r="AT20">
        <f t="shared" si="25"/>
        <v>0</v>
      </c>
      <c r="AU20">
        <f t="shared" si="26"/>
        <v>1</v>
      </c>
    </row>
    <row r="21" spans="1:47" x14ac:dyDescent="0.2">
      <c r="A21" t="s">
        <v>43</v>
      </c>
      <c r="B21">
        <v>2023</v>
      </c>
      <c r="C21">
        <v>2018</v>
      </c>
      <c r="D21" t="s">
        <v>265</v>
      </c>
      <c r="E21">
        <v>0</v>
      </c>
      <c r="F21">
        <v>1</v>
      </c>
      <c r="G21">
        <v>0</v>
      </c>
      <c r="H21">
        <v>100</v>
      </c>
      <c r="I21">
        <v>0</v>
      </c>
      <c r="J21">
        <f t="shared" si="0"/>
        <v>0</v>
      </c>
      <c r="K21">
        <v>0</v>
      </c>
      <c r="L21">
        <v>100</v>
      </c>
      <c r="M21">
        <v>0</v>
      </c>
      <c r="N21" t="s">
        <v>44</v>
      </c>
      <c r="O21">
        <f t="shared" si="1"/>
        <v>0</v>
      </c>
      <c r="P21">
        <f t="shared" si="2"/>
        <v>1</v>
      </c>
      <c r="Q21">
        <f t="shared" si="3"/>
        <v>0</v>
      </c>
      <c r="R21">
        <f t="shared" si="4"/>
        <v>1</v>
      </c>
      <c r="S21">
        <f t="shared" si="5"/>
        <v>0</v>
      </c>
      <c r="T21">
        <f t="shared" si="6"/>
        <v>0</v>
      </c>
      <c r="U21">
        <f t="shared" si="7"/>
        <v>0</v>
      </c>
      <c r="V21">
        <f t="shared" si="8"/>
        <v>0</v>
      </c>
      <c r="W21" t="str">
        <f>VLOOKUP(A21,[2]!Table2[[NCT Number]:[Intervention type]],11,FALSE)</f>
        <v>Targeted therapy+chemo</v>
      </c>
      <c r="X21">
        <f t="shared" si="27"/>
        <v>0</v>
      </c>
      <c r="Y21">
        <f t="shared" si="9"/>
        <v>1</v>
      </c>
      <c r="Z21">
        <f t="shared" si="10"/>
        <v>0</v>
      </c>
      <c r="AA21">
        <f t="shared" si="11"/>
        <v>0</v>
      </c>
      <c r="AB21">
        <f t="shared" si="12"/>
        <v>0</v>
      </c>
      <c r="AC21">
        <f t="shared" si="13"/>
        <v>0</v>
      </c>
      <c r="AD21">
        <f t="shared" si="14"/>
        <v>1</v>
      </c>
      <c r="AE21">
        <f t="shared" si="15"/>
        <v>0</v>
      </c>
      <c r="AF21">
        <f>IF(ISNUMBER(SEARCH("endocrine", W21)), 1, 0)</f>
        <v>0</v>
      </c>
      <c r="AG21" t="s">
        <v>9</v>
      </c>
      <c r="AH21" t="s">
        <v>10</v>
      </c>
      <c r="AI21" t="s">
        <v>11</v>
      </c>
      <c r="AJ21">
        <f t="shared" si="16"/>
        <v>0</v>
      </c>
      <c r="AK21">
        <f t="shared" si="17"/>
        <v>1</v>
      </c>
      <c r="AL21">
        <f t="shared" si="18"/>
        <v>0</v>
      </c>
      <c r="AM21">
        <f t="shared" si="19"/>
        <v>0</v>
      </c>
      <c r="AN21">
        <f t="shared" si="20"/>
        <v>0</v>
      </c>
      <c r="AO21">
        <f t="shared" si="21"/>
        <v>0</v>
      </c>
      <c r="AP21" t="s">
        <v>12</v>
      </c>
      <c r="AQ21">
        <f t="shared" si="22"/>
        <v>1</v>
      </c>
      <c r="AR21">
        <f t="shared" si="23"/>
        <v>0</v>
      </c>
      <c r="AS21">
        <f t="shared" si="24"/>
        <v>0</v>
      </c>
      <c r="AT21">
        <f t="shared" si="25"/>
        <v>0</v>
      </c>
      <c r="AU21">
        <f t="shared" si="26"/>
        <v>0</v>
      </c>
    </row>
    <row r="22" spans="1:47" x14ac:dyDescent="0.2">
      <c r="A22" t="s">
        <v>45</v>
      </c>
      <c r="B22">
        <v>2019</v>
      </c>
      <c r="C22">
        <v>2013</v>
      </c>
      <c r="D22" t="s">
        <v>264</v>
      </c>
      <c r="E22">
        <v>1</v>
      </c>
      <c r="F22">
        <v>0</v>
      </c>
      <c r="G22">
        <v>0</v>
      </c>
      <c r="H22">
        <v>102</v>
      </c>
      <c r="I22">
        <v>1</v>
      </c>
      <c r="J22">
        <f t="shared" si="0"/>
        <v>0.98039215686274506</v>
      </c>
      <c r="K22">
        <v>98</v>
      </c>
      <c r="L22">
        <v>3</v>
      </c>
      <c r="M22">
        <v>1</v>
      </c>
      <c r="N22" t="s">
        <v>46</v>
      </c>
      <c r="O22">
        <f t="shared" si="1"/>
        <v>1</v>
      </c>
      <c r="P22">
        <f t="shared" si="2"/>
        <v>0</v>
      </c>
      <c r="Q22">
        <f t="shared" si="3"/>
        <v>0</v>
      </c>
      <c r="R22">
        <f t="shared" si="4"/>
        <v>0</v>
      </c>
      <c r="S22">
        <f t="shared" si="5"/>
        <v>0</v>
      </c>
      <c r="T22">
        <f t="shared" si="6"/>
        <v>0</v>
      </c>
      <c r="U22">
        <f t="shared" si="7"/>
        <v>0</v>
      </c>
      <c r="V22">
        <f t="shared" si="8"/>
        <v>0</v>
      </c>
      <c r="W22" t="str">
        <f>VLOOKUP(A22,[2]!Table2[[NCT Number]:[Intervention type]],11,FALSE)</f>
        <v>Targeted therapy</v>
      </c>
      <c r="X22">
        <f t="shared" si="27"/>
        <v>0</v>
      </c>
      <c r="Y22">
        <f t="shared" si="9"/>
        <v>1</v>
      </c>
      <c r="Z22">
        <f t="shared" si="10"/>
        <v>0</v>
      </c>
      <c r="AA22">
        <f t="shared" si="11"/>
        <v>0</v>
      </c>
      <c r="AB22">
        <f t="shared" si="12"/>
        <v>0</v>
      </c>
      <c r="AC22">
        <f t="shared" si="13"/>
        <v>0</v>
      </c>
      <c r="AD22">
        <f t="shared" si="14"/>
        <v>0</v>
      </c>
      <c r="AE22">
        <f t="shared" si="15"/>
        <v>0</v>
      </c>
      <c r="AF22">
        <f>IF(ISNUMBER(SEARCH("endocrine", W22)), 1, 0)</f>
        <v>0</v>
      </c>
      <c r="AG22" t="s">
        <v>15</v>
      </c>
      <c r="AH22" t="s">
        <v>10</v>
      </c>
      <c r="AI22" t="s">
        <v>263</v>
      </c>
      <c r="AJ22">
        <f t="shared" si="16"/>
        <v>0</v>
      </c>
      <c r="AK22">
        <f t="shared" si="17"/>
        <v>0</v>
      </c>
      <c r="AL22">
        <f t="shared" si="18"/>
        <v>0</v>
      </c>
      <c r="AM22">
        <f t="shared" si="19"/>
        <v>0</v>
      </c>
      <c r="AN22">
        <f t="shared" si="20"/>
        <v>1</v>
      </c>
      <c r="AO22">
        <f t="shared" si="21"/>
        <v>0</v>
      </c>
      <c r="AP22" t="s">
        <v>8</v>
      </c>
      <c r="AQ22">
        <f t="shared" si="22"/>
        <v>0</v>
      </c>
      <c r="AR22">
        <f t="shared" si="23"/>
        <v>0</v>
      </c>
      <c r="AS22">
        <f t="shared" si="24"/>
        <v>0</v>
      </c>
      <c r="AT22">
        <f t="shared" si="25"/>
        <v>0</v>
      </c>
      <c r="AU22">
        <f t="shared" si="26"/>
        <v>1</v>
      </c>
    </row>
    <row r="23" spans="1:47" x14ac:dyDescent="0.2">
      <c r="A23" t="s">
        <v>47</v>
      </c>
      <c r="B23">
        <v>2019</v>
      </c>
      <c r="C23">
        <v>2016</v>
      </c>
      <c r="D23" t="s">
        <v>265</v>
      </c>
      <c r="E23">
        <v>0</v>
      </c>
      <c r="F23">
        <v>1</v>
      </c>
      <c r="G23">
        <v>0</v>
      </c>
      <c r="H23">
        <v>106</v>
      </c>
      <c r="I23">
        <v>1</v>
      </c>
      <c r="J23">
        <f t="shared" si="0"/>
        <v>0.94339622641509435</v>
      </c>
      <c r="K23">
        <v>98</v>
      </c>
      <c r="L23">
        <v>7</v>
      </c>
      <c r="M23">
        <v>62</v>
      </c>
      <c r="N23" t="s">
        <v>21</v>
      </c>
      <c r="O23">
        <f t="shared" si="1"/>
        <v>0</v>
      </c>
      <c r="P23">
        <f t="shared" si="2"/>
        <v>0</v>
      </c>
      <c r="Q23">
        <f t="shared" si="3"/>
        <v>0</v>
      </c>
      <c r="R23">
        <f t="shared" si="4"/>
        <v>0</v>
      </c>
      <c r="S23">
        <f t="shared" si="5"/>
        <v>0</v>
      </c>
      <c r="T23">
        <f t="shared" si="6"/>
        <v>0</v>
      </c>
      <c r="U23">
        <f t="shared" si="7"/>
        <v>0</v>
      </c>
      <c r="V23">
        <f t="shared" si="8"/>
        <v>1</v>
      </c>
      <c r="W23" t="str">
        <f>VLOOKUP(A23,[2]!Table2[[NCT Number]:[Intervention type]],11,FALSE)</f>
        <v>immunotherapy</v>
      </c>
      <c r="X23">
        <f t="shared" si="27"/>
        <v>1</v>
      </c>
      <c r="Y23">
        <f t="shared" si="9"/>
        <v>0</v>
      </c>
      <c r="Z23">
        <f t="shared" si="10"/>
        <v>0</v>
      </c>
      <c r="AA23">
        <f t="shared" si="11"/>
        <v>0</v>
      </c>
      <c r="AB23">
        <f t="shared" si="12"/>
        <v>0</v>
      </c>
      <c r="AC23">
        <f t="shared" si="13"/>
        <v>0</v>
      </c>
      <c r="AD23">
        <f t="shared" si="14"/>
        <v>0</v>
      </c>
      <c r="AE23">
        <f t="shared" si="15"/>
        <v>0</v>
      </c>
      <c r="AF23">
        <f>IF(ISNUMBER(SEARCH("endocrine", W23)), 1, 0)</f>
        <v>0</v>
      </c>
      <c r="AG23" t="s">
        <v>9</v>
      </c>
      <c r="AH23" t="s">
        <v>10</v>
      </c>
      <c r="AI23" t="s">
        <v>11</v>
      </c>
      <c r="AJ23">
        <f t="shared" si="16"/>
        <v>0</v>
      </c>
      <c r="AK23">
        <f t="shared" si="17"/>
        <v>1</v>
      </c>
      <c r="AL23">
        <f t="shared" si="18"/>
        <v>0</v>
      </c>
      <c r="AM23">
        <f t="shared" si="19"/>
        <v>0</v>
      </c>
      <c r="AN23">
        <f t="shared" si="20"/>
        <v>0</v>
      </c>
      <c r="AO23">
        <f t="shared" si="21"/>
        <v>0</v>
      </c>
      <c r="AP23" t="s">
        <v>12</v>
      </c>
      <c r="AQ23">
        <f t="shared" si="22"/>
        <v>1</v>
      </c>
      <c r="AR23">
        <f t="shared" si="23"/>
        <v>0</v>
      </c>
      <c r="AS23">
        <f t="shared" si="24"/>
        <v>0</v>
      </c>
      <c r="AT23">
        <f t="shared" si="25"/>
        <v>0</v>
      </c>
      <c r="AU23">
        <f t="shared" si="26"/>
        <v>0</v>
      </c>
    </row>
    <row r="24" spans="1:47" x14ac:dyDescent="0.2">
      <c r="A24" t="s">
        <v>48</v>
      </c>
      <c r="B24">
        <v>2023</v>
      </c>
      <c r="C24">
        <v>2015</v>
      </c>
      <c r="D24" t="s">
        <v>264</v>
      </c>
      <c r="E24">
        <v>1</v>
      </c>
      <c r="F24">
        <v>0</v>
      </c>
      <c r="G24">
        <v>0</v>
      </c>
      <c r="H24">
        <v>111</v>
      </c>
      <c r="I24">
        <v>3</v>
      </c>
      <c r="J24">
        <f t="shared" si="0"/>
        <v>2.7027027027027026</v>
      </c>
      <c r="K24">
        <v>96</v>
      </c>
      <c r="L24">
        <v>12</v>
      </c>
      <c r="M24">
        <v>53</v>
      </c>
      <c r="N24" t="s">
        <v>6</v>
      </c>
      <c r="O24">
        <f t="shared" si="1"/>
        <v>0</v>
      </c>
      <c r="P24">
        <f t="shared" si="2"/>
        <v>1</v>
      </c>
      <c r="Q24">
        <f t="shared" si="3"/>
        <v>0</v>
      </c>
      <c r="R24">
        <f t="shared" si="4"/>
        <v>0</v>
      </c>
      <c r="S24">
        <f t="shared" si="5"/>
        <v>0</v>
      </c>
      <c r="T24">
        <f t="shared" si="6"/>
        <v>1</v>
      </c>
      <c r="U24">
        <f t="shared" si="7"/>
        <v>0</v>
      </c>
      <c r="V24">
        <f t="shared" si="8"/>
        <v>0</v>
      </c>
      <c r="W24" t="str">
        <f>VLOOKUP(A24,[2]!Table2[[NCT Number]:[Intervention type]],11,FALSE)</f>
        <v>immunotherapy</v>
      </c>
      <c r="X24">
        <f t="shared" si="27"/>
        <v>1</v>
      </c>
      <c r="Y24">
        <f t="shared" si="9"/>
        <v>0</v>
      </c>
      <c r="Z24">
        <f t="shared" si="10"/>
        <v>0</v>
      </c>
      <c r="AA24">
        <f t="shared" si="11"/>
        <v>0</v>
      </c>
      <c r="AB24">
        <f t="shared" si="12"/>
        <v>0</v>
      </c>
      <c r="AC24">
        <f t="shared" si="13"/>
        <v>0</v>
      </c>
      <c r="AD24">
        <f t="shared" si="14"/>
        <v>0</v>
      </c>
      <c r="AE24">
        <f t="shared" si="15"/>
        <v>0</v>
      </c>
      <c r="AF24">
        <f>IF(ISNUMBER(SEARCH("endocrine", W24)), 1, 0)</f>
        <v>0</v>
      </c>
      <c r="AG24" t="s">
        <v>15</v>
      </c>
      <c r="AH24" t="s">
        <v>10</v>
      </c>
      <c r="AI24" t="s">
        <v>8</v>
      </c>
      <c r="AJ24">
        <f t="shared" si="16"/>
        <v>0</v>
      </c>
      <c r="AK24">
        <f t="shared" si="17"/>
        <v>0</v>
      </c>
      <c r="AL24">
        <f t="shared" si="18"/>
        <v>0</v>
      </c>
      <c r="AM24">
        <f t="shared" si="19"/>
        <v>0</v>
      </c>
      <c r="AN24">
        <f t="shared" si="20"/>
        <v>0</v>
      </c>
      <c r="AO24">
        <f t="shared" si="21"/>
        <v>1</v>
      </c>
      <c r="AP24" t="s">
        <v>8</v>
      </c>
      <c r="AQ24">
        <f t="shared" si="22"/>
        <v>0</v>
      </c>
      <c r="AR24">
        <f t="shared" si="23"/>
        <v>0</v>
      </c>
      <c r="AS24">
        <f t="shared" si="24"/>
        <v>0</v>
      </c>
      <c r="AT24">
        <f t="shared" si="25"/>
        <v>0</v>
      </c>
      <c r="AU24">
        <f t="shared" si="26"/>
        <v>1</v>
      </c>
    </row>
    <row r="25" spans="1:47" x14ac:dyDescent="0.2">
      <c r="A25" t="s">
        <v>49</v>
      </c>
      <c r="B25">
        <v>2018</v>
      </c>
      <c r="C25">
        <v>2015</v>
      </c>
      <c r="D25" t="s">
        <v>264</v>
      </c>
      <c r="E25">
        <v>1</v>
      </c>
      <c r="F25">
        <v>0</v>
      </c>
      <c r="G25">
        <v>0</v>
      </c>
      <c r="H25">
        <v>119</v>
      </c>
      <c r="I25" t="s">
        <v>8</v>
      </c>
      <c r="J25" t="s">
        <v>8</v>
      </c>
      <c r="K25">
        <v>99</v>
      </c>
      <c r="L25">
        <v>20</v>
      </c>
      <c r="M25">
        <v>66</v>
      </c>
      <c r="N25" t="s">
        <v>18</v>
      </c>
      <c r="O25">
        <f t="shared" si="1"/>
        <v>0</v>
      </c>
      <c r="P25">
        <f t="shared" si="2"/>
        <v>0</v>
      </c>
      <c r="Q25">
        <f t="shared" si="3"/>
        <v>0</v>
      </c>
      <c r="R25">
        <f t="shared" si="4"/>
        <v>0</v>
      </c>
      <c r="S25">
        <f t="shared" si="5"/>
        <v>0</v>
      </c>
      <c r="T25">
        <f t="shared" si="6"/>
        <v>0</v>
      </c>
      <c r="U25">
        <f t="shared" si="7"/>
        <v>1</v>
      </c>
      <c r="V25">
        <f t="shared" si="8"/>
        <v>0</v>
      </c>
      <c r="W25" t="str">
        <f>VLOOKUP(A25,[2]!Table2[[NCT Number]:[Intervention type]],11,FALSE)</f>
        <v>Targeted therapy</v>
      </c>
      <c r="X25">
        <f t="shared" si="27"/>
        <v>0</v>
      </c>
      <c r="Y25">
        <f t="shared" si="9"/>
        <v>1</v>
      </c>
      <c r="Z25">
        <f t="shared" si="10"/>
        <v>0</v>
      </c>
      <c r="AA25">
        <f t="shared" si="11"/>
        <v>0</v>
      </c>
      <c r="AB25">
        <f t="shared" si="12"/>
        <v>0</v>
      </c>
      <c r="AC25">
        <f t="shared" si="13"/>
        <v>0</v>
      </c>
      <c r="AD25">
        <f t="shared" si="14"/>
        <v>0</v>
      </c>
      <c r="AE25">
        <f t="shared" si="15"/>
        <v>0</v>
      </c>
      <c r="AF25">
        <f>IF(ISNUMBER(SEARCH("endocrine", W25)), 1, 0)</f>
        <v>0</v>
      </c>
      <c r="AG25" t="s">
        <v>15</v>
      </c>
      <c r="AH25" t="s">
        <v>10</v>
      </c>
      <c r="AI25" t="s">
        <v>32</v>
      </c>
      <c r="AJ25">
        <f t="shared" si="16"/>
        <v>0</v>
      </c>
      <c r="AK25">
        <f t="shared" si="17"/>
        <v>0</v>
      </c>
      <c r="AL25">
        <f t="shared" si="18"/>
        <v>0</v>
      </c>
      <c r="AM25">
        <f t="shared" si="19"/>
        <v>1</v>
      </c>
      <c r="AN25">
        <f t="shared" si="20"/>
        <v>0</v>
      </c>
      <c r="AO25">
        <f t="shared" si="21"/>
        <v>0</v>
      </c>
      <c r="AP25" t="s">
        <v>50</v>
      </c>
      <c r="AQ25">
        <f t="shared" si="22"/>
        <v>0</v>
      </c>
      <c r="AR25">
        <f t="shared" si="23"/>
        <v>1</v>
      </c>
      <c r="AS25">
        <f t="shared" si="24"/>
        <v>0</v>
      </c>
      <c r="AT25">
        <f t="shared" si="25"/>
        <v>0</v>
      </c>
      <c r="AU25">
        <f t="shared" si="26"/>
        <v>0</v>
      </c>
    </row>
    <row r="26" spans="1:47" x14ac:dyDescent="0.2">
      <c r="A26" t="s">
        <v>51</v>
      </c>
      <c r="B26">
        <v>2023</v>
      </c>
      <c r="C26">
        <v>2018</v>
      </c>
      <c r="D26" t="s">
        <v>265</v>
      </c>
      <c r="E26">
        <v>0</v>
      </c>
      <c r="F26">
        <v>1</v>
      </c>
      <c r="G26">
        <v>0</v>
      </c>
      <c r="H26">
        <v>120</v>
      </c>
      <c r="I26">
        <v>7</v>
      </c>
      <c r="J26">
        <f t="shared" si="0"/>
        <v>5.833333333333333</v>
      </c>
      <c r="K26">
        <v>110</v>
      </c>
      <c r="L26">
        <v>3</v>
      </c>
      <c r="M26">
        <v>82</v>
      </c>
      <c r="N26" t="s">
        <v>6</v>
      </c>
      <c r="O26">
        <f t="shared" si="1"/>
        <v>0</v>
      </c>
      <c r="P26">
        <f t="shared" si="2"/>
        <v>1</v>
      </c>
      <c r="Q26">
        <f t="shared" si="3"/>
        <v>0</v>
      </c>
      <c r="R26">
        <f t="shared" si="4"/>
        <v>0</v>
      </c>
      <c r="S26">
        <f t="shared" si="5"/>
        <v>0</v>
      </c>
      <c r="T26">
        <f t="shared" si="6"/>
        <v>1</v>
      </c>
      <c r="U26">
        <f t="shared" si="7"/>
        <v>0</v>
      </c>
      <c r="V26">
        <f t="shared" si="8"/>
        <v>0</v>
      </c>
      <c r="W26" t="str">
        <f>VLOOKUP(A26,[2]!Table2[[NCT Number]:[Intervention type]],11,FALSE)</f>
        <v>Targeted therapy+chemo</v>
      </c>
      <c r="X26">
        <f t="shared" si="27"/>
        <v>0</v>
      </c>
      <c r="Y26">
        <f t="shared" si="9"/>
        <v>1</v>
      </c>
      <c r="Z26">
        <f t="shared" si="10"/>
        <v>0</v>
      </c>
      <c r="AA26">
        <f t="shared" si="11"/>
        <v>0</v>
      </c>
      <c r="AB26">
        <f t="shared" si="12"/>
        <v>0</v>
      </c>
      <c r="AC26">
        <f t="shared" si="13"/>
        <v>0</v>
      </c>
      <c r="AD26">
        <f t="shared" si="14"/>
        <v>1</v>
      </c>
      <c r="AE26">
        <f t="shared" si="15"/>
        <v>0</v>
      </c>
      <c r="AF26">
        <f>IF(ISNUMBER(SEARCH("endocrine", W26)), 1, 0)</f>
        <v>0</v>
      </c>
      <c r="AG26" t="s">
        <v>9</v>
      </c>
      <c r="AH26" t="s">
        <v>10</v>
      </c>
      <c r="AI26" t="s">
        <v>11</v>
      </c>
      <c r="AJ26">
        <f t="shared" si="16"/>
        <v>0</v>
      </c>
      <c r="AK26">
        <f t="shared" si="17"/>
        <v>1</v>
      </c>
      <c r="AL26">
        <f t="shared" si="18"/>
        <v>0</v>
      </c>
      <c r="AM26">
        <f t="shared" si="19"/>
        <v>0</v>
      </c>
      <c r="AN26">
        <f t="shared" si="20"/>
        <v>0</v>
      </c>
      <c r="AO26">
        <f t="shared" si="21"/>
        <v>0</v>
      </c>
      <c r="AP26" t="s">
        <v>12</v>
      </c>
      <c r="AQ26">
        <f t="shared" si="22"/>
        <v>1</v>
      </c>
      <c r="AR26">
        <f t="shared" si="23"/>
        <v>0</v>
      </c>
      <c r="AS26">
        <f t="shared" si="24"/>
        <v>0</v>
      </c>
      <c r="AT26">
        <f t="shared" si="25"/>
        <v>0</v>
      </c>
      <c r="AU26">
        <f t="shared" si="26"/>
        <v>0</v>
      </c>
    </row>
    <row r="27" spans="1:47" x14ac:dyDescent="0.2">
      <c r="A27" t="s">
        <v>52</v>
      </c>
      <c r="B27">
        <v>2023</v>
      </c>
      <c r="C27">
        <v>2017</v>
      </c>
      <c r="D27" t="s">
        <v>265</v>
      </c>
      <c r="E27">
        <v>0</v>
      </c>
      <c r="F27">
        <v>1</v>
      </c>
      <c r="G27">
        <v>0</v>
      </c>
      <c r="H27">
        <v>120</v>
      </c>
      <c r="I27">
        <v>0</v>
      </c>
      <c r="J27">
        <f t="shared" si="0"/>
        <v>0</v>
      </c>
      <c r="K27">
        <v>0</v>
      </c>
      <c r="L27">
        <v>120</v>
      </c>
      <c r="M27">
        <v>56</v>
      </c>
      <c r="N27" t="s">
        <v>6</v>
      </c>
      <c r="O27">
        <f t="shared" si="1"/>
        <v>0</v>
      </c>
      <c r="P27">
        <f t="shared" si="2"/>
        <v>1</v>
      </c>
      <c r="Q27">
        <f t="shared" si="3"/>
        <v>0</v>
      </c>
      <c r="R27">
        <f t="shared" si="4"/>
        <v>0</v>
      </c>
      <c r="S27">
        <f t="shared" si="5"/>
        <v>0</v>
      </c>
      <c r="T27">
        <f t="shared" si="6"/>
        <v>1</v>
      </c>
      <c r="U27">
        <f t="shared" si="7"/>
        <v>0</v>
      </c>
      <c r="V27">
        <f t="shared" si="8"/>
        <v>0</v>
      </c>
      <c r="W27" t="str">
        <f>VLOOKUP(A27,[2]!Table2[[NCT Number]:[Intervention type]],11,FALSE)</f>
        <v>immunotherapy</v>
      </c>
      <c r="X27">
        <f t="shared" si="27"/>
        <v>1</v>
      </c>
      <c r="Y27">
        <f t="shared" si="9"/>
        <v>0</v>
      </c>
      <c r="Z27">
        <f t="shared" si="10"/>
        <v>0</v>
      </c>
      <c r="AA27">
        <f t="shared" si="11"/>
        <v>0</v>
      </c>
      <c r="AB27">
        <f t="shared" si="12"/>
        <v>0</v>
      </c>
      <c r="AC27">
        <f t="shared" si="13"/>
        <v>0</v>
      </c>
      <c r="AD27">
        <f t="shared" si="14"/>
        <v>0</v>
      </c>
      <c r="AE27">
        <f t="shared" si="15"/>
        <v>0</v>
      </c>
      <c r="AF27">
        <f>IF(ISNUMBER(SEARCH("endocrine", W27)), 1, 0)</f>
        <v>0</v>
      </c>
      <c r="AG27" t="s">
        <v>15</v>
      </c>
      <c r="AH27" t="s">
        <v>10</v>
      </c>
      <c r="AI27" t="s">
        <v>263</v>
      </c>
      <c r="AJ27">
        <f t="shared" si="16"/>
        <v>0</v>
      </c>
      <c r="AK27">
        <f t="shared" si="17"/>
        <v>0</v>
      </c>
      <c r="AL27">
        <f t="shared" si="18"/>
        <v>0</v>
      </c>
      <c r="AM27">
        <f t="shared" si="19"/>
        <v>0</v>
      </c>
      <c r="AN27">
        <f t="shared" si="20"/>
        <v>1</v>
      </c>
      <c r="AO27">
        <f t="shared" si="21"/>
        <v>0</v>
      </c>
      <c r="AP27" t="s">
        <v>12</v>
      </c>
      <c r="AQ27">
        <f t="shared" si="22"/>
        <v>1</v>
      </c>
      <c r="AR27">
        <f t="shared" si="23"/>
        <v>0</v>
      </c>
      <c r="AS27">
        <f t="shared" si="24"/>
        <v>0</v>
      </c>
      <c r="AT27">
        <f t="shared" si="25"/>
        <v>0</v>
      </c>
      <c r="AU27">
        <f t="shared" si="26"/>
        <v>0</v>
      </c>
    </row>
    <row r="28" spans="1:47" x14ac:dyDescent="0.2">
      <c r="A28" t="s">
        <v>53</v>
      </c>
      <c r="B28">
        <v>2021</v>
      </c>
      <c r="C28">
        <v>2015</v>
      </c>
      <c r="D28" t="s">
        <v>264</v>
      </c>
      <c r="E28">
        <v>1</v>
      </c>
      <c r="F28">
        <v>0</v>
      </c>
      <c r="G28">
        <v>0</v>
      </c>
      <c r="H28">
        <v>120</v>
      </c>
      <c r="I28">
        <v>4</v>
      </c>
      <c r="J28">
        <f t="shared" si="0"/>
        <v>3.3333333333333335</v>
      </c>
      <c r="K28">
        <v>106</v>
      </c>
      <c r="L28">
        <v>10</v>
      </c>
      <c r="M28">
        <v>49</v>
      </c>
      <c r="N28" t="s">
        <v>56</v>
      </c>
      <c r="O28">
        <f t="shared" si="1"/>
        <v>0</v>
      </c>
      <c r="P28">
        <f t="shared" si="2"/>
        <v>1</v>
      </c>
      <c r="Q28">
        <f t="shared" si="3"/>
        <v>0</v>
      </c>
      <c r="R28">
        <f t="shared" si="4"/>
        <v>0</v>
      </c>
      <c r="S28">
        <f t="shared" si="5"/>
        <v>0</v>
      </c>
      <c r="T28">
        <f t="shared" si="6"/>
        <v>0</v>
      </c>
      <c r="U28">
        <f t="shared" si="7"/>
        <v>0</v>
      </c>
      <c r="V28">
        <f t="shared" si="8"/>
        <v>0</v>
      </c>
      <c r="W28" t="str">
        <f>VLOOKUP(A28,[2]!Table2[[NCT Number]:[Intervention type]],11,FALSE)</f>
        <v>Targeted therapy</v>
      </c>
      <c r="X28">
        <f t="shared" si="27"/>
        <v>0</v>
      </c>
      <c r="Y28">
        <f t="shared" si="9"/>
        <v>1</v>
      </c>
      <c r="Z28">
        <f t="shared" si="10"/>
        <v>0</v>
      </c>
      <c r="AA28">
        <f t="shared" si="11"/>
        <v>0</v>
      </c>
      <c r="AB28">
        <f t="shared" si="12"/>
        <v>0</v>
      </c>
      <c r="AC28">
        <f t="shared" si="13"/>
        <v>0</v>
      </c>
      <c r="AD28">
        <f t="shared" si="14"/>
        <v>0</v>
      </c>
      <c r="AE28">
        <f t="shared" si="15"/>
        <v>0</v>
      </c>
      <c r="AF28">
        <f>IF(ISNUMBER(SEARCH("endocrine", W28)), 1, 0)</f>
        <v>0</v>
      </c>
      <c r="AG28" t="s">
        <v>15</v>
      </c>
      <c r="AH28" t="s">
        <v>10</v>
      </c>
      <c r="AI28" t="s">
        <v>42</v>
      </c>
      <c r="AJ28">
        <f t="shared" si="16"/>
        <v>0</v>
      </c>
      <c r="AK28">
        <f t="shared" si="17"/>
        <v>0</v>
      </c>
      <c r="AL28">
        <f t="shared" si="18"/>
        <v>1</v>
      </c>
      <c r="AM28">
        <f t="shared" si="19"/>
        <v>0</v>
      </c>
      <c r="AN28">
        <f t="shared" si="20"/>
        <v>0</v>
      </c>
      <c r="AO28">
        <f t="shared" si="21"/>
        <v>0</v>
      </c>
      <c r="AP28" t="s">
        <v>8</v>
      </c>
      <c r="AQ28">
        <f t="shared" si="22"/>
        <v>0</v>
      </c>
      <c r="AR28">
        <f t="shared" si="23"/>
        <v>0</v>
      </c>
      <c r="AS28">
        <f t="shared" si="24"/>
        <v>0</v>
      </c>
      <c r="AT28">
        <f t="shared" si="25"/>
        <v>0</v>
      </c>
      <c r="AU28">
        <f t="shared" si="26"/>
        <v>1</v>
      </c>
    </row>
    <row r="29" spans="1:47" x14ac:dyDescent="0.2">
      <c r="A29" t="s">
        <v>54</v>
      </c>
      <c r="B29">
        <v>2021</v>
      </c>
      <c r="C29">
        <v>2017</v>
      </c>
      <c r="D29" t="s">
        <v>265</v>
      </c>
      <c r="E29">
        <v>0</v>
      </c>
      <c r="F29">
        <v>1</v>
      </c>
      <c r="G29">
        <v>0</v>
      </c>
      <c r="H29">
        <v>123</v>
      </c>
      <c r="I29" t="s">
        <v>8</v>
      </c>
      <c r="J29" t="s">
        <v>8</v>
      </c>
      <c r="K29" t="s">
        <v>8</v>
      </c>
      <c r="L29" t="s">
        <v>8</v>
      </c>
      <c r="M29">
        <v>67</v>
      </c>
      <c r="N29" t="s">
        <v>6</v>
      </c>
      <c r="O29">
        <f t="shared" si="1"/>
        <v>0</v>
      </c>
      <c r="P29">
        <f t="shared" si="2"/>
        <v>1</v>
      </c>
      <c r="Q29">
        <f t="shared" si="3"/>
        <v>0</v>
      </c>
      <c r="R29">
        <f t="shared" si="4"/>
        <v>0</v>
      </c>
      <c r="S29">
        <f t="shared" si="5"/>
        <v>0</v>
      </c>
      <c r="T29">
        <f t="shared" si="6"/>
        <v>1</v>
      </c>
      <c r="U29">
        <f t="shared" si="7"/>
        <v>0</v>
      </c>
      <c r="V29">
        <f t="shared" si="8"/>
        <v>0</v>
      </c>
      <c r="W29" t="str">
        <f>VLOOKUP(A29,[2]!Table2[[NCT Number]:[Intervention type]],11,FALSE)</f>
        <v>chemotherapy</v>
      </c>
      <c r="X29">
        <f t="shared" si="27"/>
        <v>0</v>
      </c>
      <c r="Y29">
        <f t="shared" si="9"/>
        <v>0</v>
      </c>
      <c r="Z29">
        <f t="shared" si="10"/>
        <v>1</v>
      </c>
      <c r="AA29">
        <f t="shared" si="11"/>
        <v>0</v>
      </c>
      <c r="AB29">
        <f t="shared" si="12"/>
        <v>0</v>
      </c>
      <c r="AC29">
        <f t="shared" si="13"/>
        <v>0</v>
      </c>
      <c r="AD29">
        <f t="shared" si="14"/>
        <v>0</v>
      </c>
      <c r="AE29">
        <f t="shared" si="15"/>
        <v>0</v>
      </c>
      <c r="AF29">
        <f>IF(ISNUMBER(SEARCH("endocrine", W29)), 1, 0)</f>
        <v>0</v>
      </c>
      <c r="AG29" t="s">
        <v>9</v>
      </c>
      <c r="AH29" t="s">
        <v>10</v>
      </c>
      <c r="AI29" t="s">
        <v>11</v>
      </c>
      <c r="AJ29">
        <f t="shared" si="16"/>
        <v>0</v>
      </c>
      <c r="AK29">
        <f t="shared" si="17"/>
        <v>1</v>
      </c>
      <c r="AL29">
        <f t="shared" si="18"/>
        <v>0</v>
      </c>
      <c r="AM29">
        <f t="shared" si="19"/>
        <v>0</v>
      </c>
      <c r="AN29">
        <f t="shared" si="20"/>
        <v>0</v>
      </c>
      <c r="AO29">
        <f t="shared" si="21"/>
        <v>0</v>
      </c>
      <c r="AP29" t="s">
        <v>12</v>
      </c>
      <c r="AQ29">
        <f t="shared" si="22"/>
        <v>1</v>
      </c>
      <c r="AR29">
        <f t="shared" si="23"/>
        <v>0</v>
      </c>
      <c r="AS29">
        <f t="shared" si="24"/>
        <v>0</v>
      </c>
      <c r="AT29">
        <f t="shared" si="25"/>
        <v>0</v>
      </c>
      <c r="AU29">
        <f t="shared" si="26"/>
        <v>0</v>
      </c>
    </row>
    <row r="30" spans="1:47" x14ac:dyDescent="0.2">
      <c r="A30" t="s">
        <v>55</v>
      </c>
      <c r="B30">
        <v>2019</v>
      </c>
      <c r="C30">
        <v>2016</v>
      </c>
      <c r="D30" t="s">
        <v>265</v>
      </c>
      <c r="E30">
        <v>0</v>
      </c>
      <c r="F30">
        <v>1</v>
      </c>
      <c r="G30">
        <v>0</v>
      </c>
      <c r="H30">
        <v>123</v>
      </c>
      <c r="I30">
        <v>6</v>
      </c>
      <c r="J30">
        <f t="shared" si="0"/>
        <v>4.8780487804878048</v>
      </c>
      <c r="K30">
        <v>82</v>
      </c>
      <c r="L30">
        <v>35</v>
      </c>
      <c r="M30">
        <v>68</v>
      </c>
      <c r="N30" t="s">
        <v>56</v>
      </c>
      <c r="O30">
        <f t="shared" si="1"/>
        <v>0</v>
      </c>
      <c r="P30">
        <f t="shared" si="2"/>
        <v>1</v>
      </c>
      <c r="Q30">
        <f t="shared" si="3"/>
        <v>0</v>
      </c>
      <c r="R30">
        <f t="shared" si="4"/>
        <v>0</v>
      </c>
      <c r="S30">
        <f t="shared" si="5"/>
        <v>0</v>
      </c>
      <c r="T30">
        <f t="shared" si="6"/>
        <v>0</v>
      </c>
      <c r="U30">
        <f t="shared" si="7"/>
        <v>0</v>
      </c>
      <c r="V30">
        <f t="shared" si="8"/>
        <v>0</v>
      </c>
      <c r="W30" t="str">
        <f>VLOOKUP(A30,[2]!Table2[[NCT Number]:[Intervention type]],11,FALSE)</f>
        <v>Targeted therapy</v>
      </c>
      <c r="X30">
        <f t="shared" si="27"/>
        <v>0</v>
      </c>
      <c r="Y30">
        <f t="shared" si="9"/>
        <v>1</v>
      </c>
      <c r="Z30">
        <f t="shared" si="10"/>
        <v>0</v>
      </c>
      <c r="AA30">
        <f t="shared" si="11"/>
        <v>0</v>
      </c>
      <c r="AB30">
        <f t="shared" si="12"/>
        <v>0</v>
      </c>
      <c r="AC30">
        <f t="shared" si="13"/>
        <v>0</v>
      </c>
      <c r="AD30">
        <f t="shared" si="14"/>
        <v>0</v>
      </c>
      <c r="AE30">
        <f t="shared" si="15"/>
        <v>0</v>
      </c>
      <c r="AF30">
        <f>IF(ISNUMBER(SEARCH("endocrine", W30)), 1, 0)</f>
        <v>0</v>
      </c>
      <c r="AG30" t="s">
        <v>15</v>
      </c>
      <c r="AH30" t="s">
        <v>10</v>
      </c>
      <c r="AI30" t="s">
        <v>263</v>
      </c>
      <c r="AJ30">
        <f t="shared" si="16"/>
        <v>0</v>
      </c>
      <c r="AK30">
        <f t="shared" si="17"/>
        <v>0</v>
      </c>
      <c r="AL30">
        <f t="shared" si="18"/>
        <v>0</v>
      </c>
      <c r="AM30">
        <f t="shared" si="19"/>
        <v>0</v>
      </c>
      <c r="AN30">
        <f t="shared" si="20"/>
        <v>1</v>
      </c>
      <c r="AO30">
        <f t="shared" si="21"/>
        <v>0</v>
      </c>
      <c r="AP30" t="s">
        <v>12</v>
      </c>
      <c r="AQ30">
        <f t="shared" si="22"/>
        <v>1</v>
      </c>
      <c r="AR30">
        <f t="shared" si="23"/>
        <v>0</v>
      </c>
      <c r="AS30">
        <f t="shared" si="24"/>
        <v>0</v>
      </c>
      <c r="AT30">
        <f t="shared" si="25"/>
        <v>0</v>
      </c>
      <c r="AU30">
        <f t="shared" si="26"/>
        <v>0</v>
      </c>
    </row>
    <row r="31" spans="1:47" x14ac:dyDescent="0.2">
      <c r="A31" t="s">
        <v>57</v>
      </c>
      <c r="B31">
        <v>2023</v>
      </c>
      <c r="C31">
        <v>2016</v>
      </c>
      <c r="D31" t="s">
        <v>265</v>
      </c>
      <c r="E31">
        <v>0</v>
      </c>
      <c r="F31">
        <v>1</v>
      </c>
      <c r="G31">
        <v>0</v>
      </c>
      <c r="H31">
        <v>123</v>
      </c>
      <c r="I31">
        <v>0</v>
      </c>
      <c r="J31">
        <f t="shared" si="0"/>
        <v>0</v>
      </c>
      <c r="K31">
        <v>0</v>
      </c>
      <c r="L31">
        <v>123</v>
      </c>
      <c r="M31">
        <v>115</v>
      </c>
      <c r="N31" t="s">
        <v>56</v>
      </c>
      <c r="O31">
        <f t="shared" si="1"/>
        <v>0</v>
      </c>
      <c r="P31">
        <f t="shared" si="2"/>
        <v>1</v>
      </c>
      <c r="Q31">
        <f t="shared" si="3"/>
        <v>0</v>
      </c>
      <c r="R31">
        <f t="shared" si="4"/>
        <v>0</v>
      </c>
      <c r="S31">
        <f t="shared" si="5"/>
        <v>0</v>
      </c>
      <c r="T31">
        <f t="shared" si="6"/>
        <v>0</v>
      </c>
      <c r="U31">
        <f t="shared" si="7"/>
        <v>0</v>
      </c>
      <c r="V31">
        <f t="shared" si="8"/>
        <v>0</v>
      </c>
      <c r="W31" t="str">
        <f>VLOOKUP(A31,[2]!Table2[[NCT Number]:[Intervention type]],11,FALSE)</f>
        <v>immunotherapy</v>
      </c>
      <c r="X31">
        <f t="shared" si="27"/>
        <v>1</v>
      </c>
      <c r="Y31">
        <f t="shared" si="9"/>
        <v>0</v>
      </c>
      <c r="Z31">
        <f t="shared" si="10"/>
        <v>0</v>
      </c>
      <c r="AA31">
        <f t="shared" si="11"/>
        <v>0</v>
      </c>
      <c r="AB31">
        <f t="shared" si="12"/>
        <v>0</v>
      </c>
      <c r="AC31">
        <f t="shared" si="13"/>
        <v>0</v>
      </c>
      <c r="AD31">
        <f t="shared" si="14"/>
        <v>0</v>
      </c>
      <c r="AE31">
        <f t="shared" si="15"/>
        <v>0</v>
      </c>
      <c r="AF31">
        <f>IF(ISNUMBER(SEARCH("endocrine", W31)), 1, 0)</f>
        <v>0</v>
      </c>
      <c r="AG31" t="s">
        <v>15</v>
      </c>
      <c r="AH31" t="s">
        <v>10</v>
      </c>
      <c r="AI31" t="s">
        <v>263</v>
      </c>
      <c r="AJ31">
        <f t="shared" si="16"/>
        <v>0</v>
      </c>
      <c r="AK31">
        <f t="shared" si="17"/>
        <v>0</v>
      </c>
      <c r="AL31">
        <f t="shared" si="18"/>
        <v>0</v>
      </c>
      <c r="AM31">
        <f t="shared" si="19"/>
        <v>0</v>
      </c>
      <c r="AN31">
        <f t="shared" si="20"/>
        <v>1</v>
      </c>
      <c r="AO31">
        <f t="shared" si="21"/>
        <v>0</v>
      </c>
      <c r="AP31" t="s">
        <v>12</v>
      </c>
      <c r="AQ31">
        <f t="shared" si="22"/>
        <v>1</v>
      </c>
      <c r="AR31">
        <f t="shared" si="23"/>
        <v>0</v>
      </c>
      <c r="AS31">
        <f t="shared" si="24"/>
        <v>0</v>
      </c>
      <c r="AT31">
        <f t="shared" si="25"/>
        <v>0</v>
      </c>
      <c r="AU31">
        <f t="shared" si="26"/>
        <v>0</v>
      </c>
    </row>
    <row r="32" spans="1:47" x14ac:dyDescent="0.2">
      <c r="A32" t="s">
        <v>58</v>
      </c>
      <c r="B32">
        <v>2023</v>
      </c>
      <c r="C32">
        <v>2017</v>
      </c>
      <c r="D32" t="s">
        <v>265</v>
      </c>
      <c r="E32">
        <v>0</v>
      </c>
      <c r="F32">
        <v>1</v>
      </c>
      <c r="G32">
        <v>0</v>
      </c>
      <c r="H32">
        <v>125</v>
      </c>
      <c r="I32">
        <v>0</v>
      </c>
      <c r="J32">
        <f t="shared" si="0"/>
        <v>0</v>
      </c>
      <c r="K32">
        <v>0</v>
      </c>
      <c r="L32">
        <v>125</v>
      </c>
      <c r="M32">
        <v>119</v>
      </c>
      <c r="N32" t="s">
        <v>18</v>
      </c>
      <c r="O32">
        <f t="shared" si="1"/>
        <v>0</v>
      </c>
      <c r="P32">
        <f t="shared" si="2"/>
        <v>0</v>
      </c>
      <c r="Q32">
        <f t="shared" si="3"/>
        <v>0</v>
      </c>
      <c r="R32">
        <f t="shared" si="4"/>
        <v>0</v>
      </c>
      <c r="S32">
        <f t="shared" si="5"/>
        <v>0</v>
      </c>
      <c r="T32">
        <f t="shared" si="6"/>
        <v>0</v>
      </c>
      <c r="U32">
        <f t="shared" si="7"/>
        <v>1</v>
      </c>
      <c r="V32">
        <f t="shared" si="8"/>
        <v>0</v>
      </c>
      <c r="W32" t="str">
        <f>VLOOKUP(A32,[2]!Table2[[NCT Number]:[Intervention type]],11,FALSE)</f>
        <v>immunotherapy+chemo</v>
      </c>
      <c r="X32">
        <f t="shared" si="27"/>
        <v>1</v>
      </c>
      <c r="Y32">
        <f t="shared" si="9"/>
        <v>0</v>
      </c>
      <c r="Z32">
        <f t="shared" si="10"/>
        <v>0</v>
      </c>
      <c r="AA32">
        <f t="shared" si="11"/>
        <v>0</v>
      </c>
      <c r="AB32">
        <f t="shared" si="12"/>
        <v>0</v>
      </c>
      <c r="AC32">
        <f t="shared" si="13"/>
        <v>0</v>
      </c>
      <c r="AD32">
        <f t="shared" si="14"/>
        <v>0</v>
      </c>
      <c r="AE32">
        <f t="shared" si="15"/>
        <v>1</v>
      </c>
      <c r="AF32">
        <f>IF(ISNUMBER(SEARCH("endocrine", W32)), 1, 0)</f>
        <v>0</v>
      </c>
      <c r="AG32" t="s">
        <v>9</v>
      </c>
      <c r="AH32" t="s">
        <v>10</v>
      </c>
      <c r="AI32" t="s">
        <v>263</v>
      </c>
      <c r="AJ32">
        <f t="shared" si="16"/>
        <v>0</v>
      </c>
      <c r="AK32">
        <f t="shared" si="17"/>
        <v>0</v>
      </c>
      <c r="AL32">
        <f t="shared" si="18"/>
        <v>0</v>
      </c>
      <c r="AM32">
        <f t="shared" si="19"/>
        <v>0</v>
      </c>
      <c r="AN32">
        <f t="shared" si="20"/>
        <v>1</v>
      </c>
      <c r="AO32">
        <f t="shared" si="21"/>
        <v>0</v>
      </c>
      <c r="AP32" t="s">
        <v>39</v>
      </c>
      <c r="AQ32">
        <f t="shared" si="22"/>
        <v>0</v>
      </c>
      <c r="AR32">
        <f t="shared" si="23"/>
        <v>0</v>
      </c>
      <c r="AS32">
        <f t="shared" si="24"/>
        <v>1</v>
      </c>
      <c r="AT32">
        <f t="shared" si="25"/>
        <v>0</v>
      </c>
      <c r="AU32">
        <f t="shared" si="26"/>
        <v>0</v>
      </c>
    </row>
    <row r="33" spans="1:47" x14ac:dyDescent="0.2">
      <c r="A33" t="s">
        <v>59</v>
      </c>
      <c r="B33">
        <v>2022</v>
      </c>
      <c r="C33">
        <v>2015</v>
      </c>
      <c r="D33" t="s">
        <v>264</v>
      </c>
      <c r="E33">
        <v>1</v>
      </c>
      <c r="F33">
        <v>0</v>
      </c>
      <c r="G33">
        <v>0</v>
      </c>
      <c r="H33">
        <v>126</v>
      </c>
      <c r="I33">
        <v>13</v>
      </c>
      <c r="J33">
        <f t="shared" si="0"/>
        <v>10.317460317460318</v>
      </c>
      <c r="K33">
        <v>111</v>
      </c>
      <c r="L33">
        <v>2</v>
      </c>
      <c r="M33">
        <v>90</v>
      </c>
      <c r="N33" t="s">
        <v>6</v>
      </c>
      <c r="O33">
        <f t="shared" si="1"/>
        <v>0</v>
      </c>
      <c r="P33">
        <f t="shared" si="2"/>
        <v>1</v>
      </c>
      <c r="Q33">
        <f t="shared" si="3"/>
        <v>0</v>
      </c>
      <c r="R33">
        <f t="shared" si="4"/>
        <v>0</v>
      </c>
      <c r="S33">
        <f t="shared" si="5"/>
        <v>0</v>
      </c>
      <c r="T33">
        <f t="shared" si="6"/>
        <v>1</v>
      </c>
      <c r="U33">
        <f t="shared" si="7"/>
        <v>0</v>
      </c>
      <c r="V33">
        <f t="shared" si="8"/>
        <v>0</v>
      </c>
      <c r="W33" t="str">
        <f>VLOOKUP(A33,[2]!Table2[[NCT Number]:[Intervention type]],11,FALSE)</f>
        <v>immunotherapy+targeted therapy</v>
      </c>
      <c r="X33">
        <f t="shared" si="27"/>
        <v>1</v>
      </c>
      <c r="Y33">
        <f t="shared" si="9"/>
        <v>1</v>
      </c>
      <c r="Z33">
        <f t="shared" si="10"/>
        <v>0</v>
      </c>
      <c r="AA33">
        <f t="shared" si="11"/>
        <v>0</v>
      </c>
      <c r="AB33">
        <f t="shared" si="12"/>
        <v>0</v>
      </c>
      <c r="AC33">
        <f t="shared" si="13"/>
        <v>1</v>
      </c>
      <c r="AD33">
        <f t="shared" si="14"/>
        <v>0</v>
      </c>
      <c r="AE33">
        <f t="shared" si="15"/>
        <v>0</v>
      </c>
      <c r="AF33">
        <f>IF(ISNUMBER(SEARCH("endocrine", W33)), 1, 0)</f>
        <v>0</v>
      </c>
      <c r="AG33" t="s">
        <v>9</v>
      </c>
      <c r="AH33" t="s">
        <v>10</v>
      </c>
      <c r="AI33" t="s">
        <v>11</v>
      </c>
      <c r="AJ33">
        <f t="shared" si="16"/>
        <v>0</v>
      </c>
      <c r="AK33">
        <f t="shared" si="17"/>
        <v>1</v>
      </c>
      <c r="AL33">
        <f t="shared" si="18"/>
        <v>0</v>
      </c>
      <c r="AM33">
        <f t="shared" si="19"/>
        <v>0</v>
      </c>
      <c r="AN33">
        <f t="shared" si="20"/>
        <v>0</v>
      </c>
      <c r="AO33">
        <f t="shared" si="21"/>
        <v>0</v>
      </c>
      <c r="AP33" t="s">
        <v>12</v>
      </c>
      <c r="AQ33">
        <f t="shared" si="22"/>
        <v>1</v>
      </c>
      <c r="AR33">
        <f t="shared" si="23"/>
        <v>0</v>
      </c>
      <c r="AS33">
        <f t="shared" si="24"/>
        <v>0</v>
      </c>
      <c r="AT33">
        <f t="shared" si="25"/>
        <v>0</v>
      </c>
      <c r="AU33">
        <f t="shared" si="26"/>
        <v>0</v>
      </c>
    </row>
    <row r="34" spans="1:47" x14ac:dyDescent="0.2">
      <c r="A34" t="s">
        <v>60</v>
      </c>
      <c r="B34">
        <v>2020</v>
      </c>
      <c r="C34">
        <v>2016</v>
      </c>
      <c r="D34" t="s">
        <v>265</v>
      </c>
      <c r="E34">
        <v>0</v>
      </c>
      <c r="F34">
        <v>1</v>
      </c>
      <c r="G34">
        <v>0</v>
      </c>
      <c r="H34">
        <v>126</v>
      </c>
      <c r="I34">
        <v>0</v>
      </c>
      <c r="J34">
        <f t="shared" si="0"/>
        <v>0</v>
      </c>
      <c r="K34">
        <v>126</v>
      </c>
      <c r="L34">
        <v>0</v>
      </c>
      <c r="M34">
        <v>80</v>
      </c>
      <c r="N34" t="s">
        <v>56</v>
      </c>
      <c r="O34">
        <f t="shared" si="1"/>
        <v>0</v>
      </c>
      <c r="P34">
        <f t="shared" si="2"/>
        <v>1</v>
      </c>
      <c r="Q34">
        <f t="shared" si="3"/>
        <v>0</v>
      </c>
      <c r="R34">
        <f t="shared" si="4"/>
        <v>0</v>
      </c>
      <c r="S34">
        <f t="shared" si="5"/>
        <v>0</v>
      </c>
      <c r="T34">
        <f t="shared" si="6"/>
        <v>0</v>
      </c>
      <c r="U34">
        <f t="shared" si="7"/>
        <v>0</v>
      </c>
      <c r="V34">
        <f t="shared" si="8"/>
        <v>0</v>
      </c>
      <c r="W34" t="str">
        <f>VLOOKUP(A34,[2]!Table2[[NCT Number]:[Intervention type]],11,FALSE)</f>
        <v>Targeted therapy</v>
      </c>
      <c r="X34">
        <f t="shared" si="27"/>
        <v>0</v>
      </c>
      <c r="Y34">
        <f t="shared" si="9"/>
        <v>1</v>
      </c>
      <c r="Z34">
        <f t="shared" si="10"/>
        <v>0</v>
      </c>
      <c r="AA34">
        <f t="shared" si="11"/>
        <v>0</v>
      </c>
      <c r="AB34">
        <f t="shared" si="12"/>
        <v>0</v>
      </c>
      <c r="AC34">
        <f t="shared" si="13"/>
        <v>0</v>
      </c>
      <c r="AD34">
        <f t="shared" si="14"/>
        <v>0</v>
      </c>
      <c r="AE34">
        <f t="shared" si="15"/>
        <v>0</v>
      </c>
      <c r="AF34">
        <f>IF(ISNUMBER(SEARCH("endocrine", W34)), 1, 0)</f>
        <v>0</v>
      </c>
      <c r="AG34" t="s">
        <v>15</v>
      </c>
      <c r="AH34" t="s">
        <v>10</v>
      </c>
      <c r="AI34" t="s">
        <v>42</v>
      </c>
      <c r="AJ34">
        <f t="shared" si="16"/>
        <v>0</v>
      </c>
      <c r="AK34">
        <f t="shared" si="17"/>
        <v>0</v>
      </c>
      <c r="AL34">
        <f t="shared" si="18"/>
        <v>1</v>
      </c>
      <c r="AM34">
        <f t="shared" si="19"/>
        <v>0</v>
      </c>
      <c r="AN34">
        <f t="shared" si="20"/>
        <v>0</v>
      </c>
      <c r="AO34">
        <f t="shared" si="21"/>
        <v>0</v>
      </c>
      <c r="AP34" t="s">
        <v>8</v>
      </c>
      <c r="AQ34">
        <f t="shared" si="22"/>
        <v>0</v>
      </c>
      <c r="AR34">
        <f t="shared" si="23"/>
        <v>0</v>
      </c>
      <c r="AS34">
        <f t="shared" si="24"/>
        <v>0</v>
      </c>
      <c r="AT34">
        <f t="shared" si="25"/>
        <v>0</v>
      </c>
      <c r="AU34">
        <f t="shared" si="26"/>
        <v>1</v>
      </c>
    </row>
    <row r="35" spans="1:47" x14ac:dyDescent="0.2">
      <c r="A35" t="s">
        <v>61</v>
      </c>
      <c r="B35">
        <v>2019</v>
      </c>
      <c r="C35">
        <v>2017</v>
      </c>
      <c r="D35" t="s">
        <v>265</v>
      </c>
      <c r="E35">
        <v>0</v>
      </c>
      <c r="F35">
        <v>1</v>
      </c>
      <c r="G35">
        <v>0</v>
      </c>
      <c r="H35">
        <v>128</v>
      </c>
      <c r="I35" t="s">
        <v>8</v>
      </c>
      <c r="J35" t="s">
        <v>8</v>
      </c>
      <c r="K35" t="s">
        <v>8</v>
      </c>
      <c r="L35" t="s">
        <v>8</v>
      </c>
      <c r="M35">
        <v>51</v>
      </c>
      <c r="N35" t="s">
        <v>21</v>
      </c>
      <c r="O35">
        <f t="shared" si="1"/>
        <v>0</v>
      </c>
      <c r="P35">
        <f t="shared" si="2"/>
        <v>0</v>
      </c>
      <c r="Q35">
        <f t="shared" si="3"/>
        <v>0</v>
      </c>
      <c r="R35">
        <f t="shared" si="4"/>
        <v>0</v>
      </c>
      <c r="S35">
        <f t="shared" si="5"/>
        <v>0</v>
      </c>
      <c r="T35">
        <f t="shared" si="6"/>
        <v>0</v>
      </c>
      <c r="U35">
        <f t="shared" si="7"/>
        <v>0</v>
      </c>
      <c r="V35">
        <f t="shared" si="8"/>
        <v>1</v>
      </c>
      <c r="W35" t="str">
        <f>VLOOKUP(A35,[2]!Table2[[NCT Number]:[Intervention type]],11,FALSE)</f>
        <v>Targeted therapy+chemo</v>
      </c>
      <c r="X35">
        <f t="shared" si="27"/>
        <v>0</v>
      </c>
      <c r="Y35">
        <f t="shared" si="9"/>
        <v>1</v>
      </c>
      <c r="Z35">
        <f t="shared" si="10"/>
        <v>0</v>
      </c>
      <c r="AA35">
        <f t="shared" si="11"/>
        <v>0</v>
      </c>
      <c r="AB35">
        <f t="shared" si="12"/>
        <v>0</v>
      </c>
      <c r="AC35">
        <f t="shared" si="13"/>
        <v>0</v>
      </c>
      <c r="AD35">
        <f t="shared" si="14"/>
        <v>1</v>
      </c>
      <c r="AE35">
        <f t="shared" si="15"/>
        <v>0</v>
      </c>
      <c r="AF35">
        <f>IF(ISNUMBER(SEARCH("endocrine", W35)), 1, 0)</f>
        <v>0</v>
      </c>
      <c r="AG35" t="s">
        <v>9</v>
      </c>
      <c r="AH35" t="s">
        <v>10</v>
      </c>
      <c r="AI35" t="s">
        <v>263</v>
      </c>
      <c r="AJ35">
        <f t="shared" si="16"/>
        <v>0</v>
      </c>
      <c r="AK35">
        <f t="shared" si="17"/>
        <v>0</v>
      </c>
      <c r="AL35">
        <f t="shared" si="18"/>
        <v>0</v>
      </c>
      <c r="AM35">
        <f t="shared" si="19"/>
        <v>0</v>
      </c>
      <c r="AN35">
        <f t="shared" si="20"/>
        <v>1</v>
      </c>
      <c r="AO35">
        <f t="shared" si="21"/>
        <v>0</v>
      </c>
      <c r="AP35" t="s">
        <v>12</v>
      </c>
      <c r="AQ35">
        <f t="shared" si="22"/>
        <v>1</v>
      </c>
      <c r="AR35">
        <f t="shared" si="23"/>
        <v>0</v>
      </c>
      <c r="AS35">
        <f t="shared" si="24"/>
        <v>0</v>
      </c>
      <c r="AT35">
        <f t="shared" si="25"/>
        <v>0</v>
      </c>
      <c r="AU35">
        <f t="shared" si="26"/>
        <v>0</v>
      </c>
    </row>
    <row r="36" spans="1:47" x14ac:dyDescent="0.2">
      <c r="A36" t="s">
        <v>62</v>
      </c>
      <c r="B36">
        <v>2022</v>
      </c>
      <c r="C36">
        <v>2018</v>
      </c>
      <c r="D36" t="s">
        <v>265</v>
      </c>
      <c r="E36">
        <v>0</v>
      </c>
      <c r="F36">
        <v>1</v>
      </c>
      <c r="G36">
        <v>0</v>
      </c>
      <c r="H36">
        <v>129</v>
      </c>
      <c r="I36">
        <v>10</v>
      </c>
      <c r="J36">
        <f t="shared" si="0"/>
        <v>7.7519379844961236</v>
      </c>
      <c r="K36">
        <v>97</v>
      </c>
      <c r="L36">
        <v>22</v>
      </c>
      <c r="M36">
        <v>73</v>
      </c>
      <c r="N36" t="s">
        <v>56</v>
      </c>
      <c r="O36">
        <f t="shared" si="1"/>
        <v>0</v>
      </c>
      <c r="P36">
        <f t="shared" si="2"/>
        <v>1</v>
      </c>
      <c r="Q36">
        <f t="shared" si="3"/>
        <v>0</v>
      </c>
      <c r="R36">
        <f t="shared" si="4"/>
        <v>0</v>
      </c>
      <c r="S36">
        <f t="shared" si="5"/>
        <v>0</v>
      </c>
      <c r="T36">
        <f t="shared" si="6"/>
        <v>0</v>
      </c>
      <c r="U36">
        <f t="shared" si="7"/>
        <v>0</v>
      </c>
      <c r="V36">
        <f t="shared" si="8"/>
        <v>0</v>
      </c>
      <c r="W36" t="str">
        <f>VLOOKUP(A36,[2]!Table2[[NCT Number]:[Intervention type]],11,FALSE)</f>
        <v>Targeted therapy</v>
      </c>
      <c r="X36">
        <f t="shared" si="27"/>
        <v>0</v>
      </c>
      <c r="Y36">
        <f t="shared" si="9"/>
        <v>1</v>
      </c>
      <c r="Z36">
        <f t="shared" si="10"/>
        <v>0</v>
      </c>
      <c r="AA36">
        <f t="shared" si="11"/>
        <v>0</v>
      </c>
      <c r="AB36">
        <f t="shared" si="12"/>
        <v>0</v>
      </c>
      <c r="AC36">
        <f t="shared" si="13"/>
        <v>0</v>
      </c>
      <c r="AD36">
        <f t="shared" si="14"/>
        <v>0</v>
      </c>
      <c r="AE36">
        <f t="shared" si="15"/>
        <v>0</v>
      </c>
      <c r="AF36">
        <f>IF(ISNUMBER(SEARCH("endocrine", W36)), 1, 0)</f>
        <v>0</v>
      </c>
      <c r="AG36" t="s">
        <v>15</v>
      </c>
      <c r="AH36" t="s">
        <v>10</v>
      </c>
      <c r="AI36" t="s">
        <v>263</v>
      </c>
      <c r="AJ36">
        <f t="shared" si="16"/>
        <v>0</v>
      </c>
      <c r="AK36">
        <f t="shared" si="17"/>
        <v>0</v>
      </c>
      <c r="AL36">
        <f t="shared" si="18"/>
        <v>0</v>
      </c>
      <c r="AM36">
        <f t="shared" si="19"/>
        <v>0</v>
      </c>
      <c r="AN36">
        <f t="shared" si="20"/>
        <v>1</v>
      </c>
      <c r="AO36">
        <f t="shared" si="21"/>
        <v>0</v>
      </c>
      <c r="AP36" t="s">
        <v>12</v>
      </c>
      <c r="AQ36">
        <f t="shared" si="22"/>
        <v>1</v>
      </c>
      <c r="AR36">
        <f t="shared" si="23"/>
        <v>0</v>
      </c>
      <c r="AS36">
        <f t="shared" si="24"/>
        <v>0</v>
      </c>
      <c r="AT36">
        <f t="shared" si="25"/>
        <v>0</v>
      </c>
      <c r="AU36">
        <f t="shared" si="26"/>
        <v>0</v>
      </c>
    </row>
    <row r="37" spans="1:47" x14ac:dyDescent="0.2">
      <c r="A37" t="s">
        <v>63</v>
      </c>
      <c r="B37">
        <v>2017</v>
      </c>
      <c r="C37">
        <v>2014</v>
      </c>
      <c r="D37" t="s">
        <v>264</v>
      </c>
      <c r="E37">
        <v>1</v>
      </c>
      <c r="F37">
        <v>0</v>
      </c>
      <c r="G37">
        <v>0</v>
      </c>
      <c r="H37">
        <v>129</v>
      </c>
      <c r="I37">
        <v>0</v>
      </c>
      <c r="J37">
        <f t="shared" si="0"/>
        <v>0</v>
      </c>
      <c r="K37">
        <v>127</v>
      </c>
      <c r="L37">
        <v>2</v>
      </c>
      <c r="M37">
        <v>68</v>
      </c>
      <c r="N37" t="s">
        <v>21</v>
      </c>
      <c r="O37">
        <f t="shared" si="1"/>
        <v>0</v>
      </c>
      <c r="P37">
        <f t="shared" si="2"/>
        <v>0</v>
      </c>
      <c r="Q37">
        <f t="shared" si="3"/>
        <v>0</v>
      </c>
      <c r="R37">
        <f t="shared" si="4"/>
        <v>0</v>
      </c>
      <c r="S37">
        <f t="shared" si="5"/>
        <v>0</v>
      </c>
      <c r="T37">
        <f t="shared" si="6"/>
        <v>0</v>
      </c>
      <c r="U37">
        <f t="shared" si="7"/>
        <v>0</v>
      </c>
      <c r="V37">
        <f t="shared" si="8"/>
        <v>1</v>
      </c>
      <c r="W37" t="str">
        <f>VLOOKUP(A37,[2]!Table2[[NCT Number]:[Intervention type]],11,FALSE)</f>
        <v>Targeted therapy+chemo</v>
      </c>
      <c r="X37">
        <f t="shared" si="27"/>
        <v>0</v>
      </c>
      <c r="Y37">
        <f t="shared" si="9"/>
        <v>1</v>
      </c>
      <c r="Z37">
        <f t="shared" si="10"/>
        <v>0</v>
      </c>
      <c r="AA37">
        <f t="shared" si="11"/>
        <v>0</v>
      </c>
      <c r="AB37">
        <f t="shared" si="12"/>
        <v>0</v>
      </c>
      <c r="AC37">
        <f t="shared" si="13"/>
        <v>0</v>
      </c>
      <c r="AD37">
        <f t="shared" si="14"/>
        <v>1</v>
      </c>
      <c r="AE37">
        <f t="shared" si="15"/>
        <v>0</v>
      </c>
      <c r="AF37">
        <f>IF(ISNUMBER(SEARCH("endocrine", W37)), 1, 0)</f>
        <v>0</v>
      </c>
      <c r="AG37" t="s">
        <v>9</v>
      </c>
      <c r="AH37" t="s">
        <v>10</v>
      </c>
      <c r="AI37" t="s">
        <v>8</v>
      </c>
      <c r="AJ37">
        <f t="shared" si="16"/>
        <v>0</v>
      </c>
      <c r="AK37">
        <f t="shared" si="17"/>
        <v>0</v>
      </c>
      <c r="AL37">
        <f t="shared" si="18"/>
        <v>0</v>
      </c>
      <c r="AM37">
        <f t="shared" si="19"/>
        <v>0</v>
      </c>
      <c r="AN37">
        <f t="shared" si="20"/>
        <v>0</v>
      </c>
      <c r="AO37">
        <f t="shared" si="21"/>
        <v>1</v>
      </c>
      <c r="AP37" t="s">
        <v>8</v>
      </c>
      <c r="AQ37">
        <f t="shared" si="22"/>
        <v>0</v>
      </c>
      <c r="AR37">
        <f t="shared" si="23"/>
        <v>0</v>
      </c>
      <c r="AS37">
        <f t="shared" si="24"/>
        <v>0</v>
      </c>
      <c r="AT37">
        <f t="shared" si="25"/>
        <v>0</v>
      </c>
      <c r="AU37">
        <f t="shared" si="26"/>
        <v>1</v>
      </c>
    </row>
    <row r="38" spans="1:47" x14ac:dyDescent="0.2">
      <c r="A38" t="s">
        <v>64</v>
      </c>
      <c r="B38">
        <v>2019</v>
      </c>
      <c r="C38">
        <v>2016</v>
      </c>
      <c r="D38" t="s">
        <v>265</v>
      </c>
      <c r="E38">
        <v>0</v>
      </c>
      <c r="F38">
        <v>1</v>
      </c>
      <c r="G38">
        <v>0</v>
      </c>
      <c r="H38">
        <v>130</v>
      </c>
      <c r="I38" t="s">
        <v>8</v>
      </c>
      <c r="J38" t="s">
        <v>8</v>
      </c>
      <c r="K38" t="s">
        <v>8</v>
      </c>
      <c r="L38" t="s">
        <v>8</v>
      </c>
      <c r="M38">
        <v>0</v>
      </c>
      <c r="N38" t="s">
        <v>46</v>
      </c>
      <c r="O38">
        <f t="shared" si="1"/>
        <v>1</v>
      </c>
      <c r="P38">
        <f t="shared" si="2"/>
        <v>0</v>
      </c>
      <c r="Q38">
        <f t="shared" si="3"/>
        <v>0</v>
      </c>
      <c r="R38">
        <f t="shared" si="4"/>
        <v>0</v>
      </c>
      <c r="S38">
        <f t="shared" si="5"/>
        <v>0</v>
      </c>
      <c r="T38">
        <f t="shared" si="6"/>
        <v>0</v>
      </c>
      <c r="U38">
        <f t="shared" si="7"/>
        <v>0</v>
      </c>
      <c r="V38">
        <f t="shared" si="8"/>
        <v>0</v>
      </c>
      <c r="W38" t="str">
        <f>VLOOKUP(A38,[2]!Table2[[NCT Number]:[Intervention type]],11,FALSE)</f>
        <v>Targeted therapy</v>
      </c>
      <c r="X38">
        <f t="shared" si="27"/>
        <v>0</v>
      </c>
      <c r="Y38">
        <f t="shared" si="9"/>
        <v>1</v>
      </c>
      <c r="Z38">
        <f t="shared" si="10"/>
        <v>0</v>
      </c>
      <c r="AA38">
        <f t="shared" si="11"/>
        <v>0</v>
      </c>
      <c r="AB38">
        <f t="shared" si="12"/>
        <v>0</v>
      </c>
      <c r="AC38">
        <f t="shared" si="13"/>
        <v>0</v>
      </c>
      <c r="AD38">
        <f t="shared" si="14"/>
        <v>0</v>
      </c>
      <c r="AE38">
        <f t="shared" si="15"/>
        <v>0</v>
      </c>
      <c r="AF38">
        <f>IF(ISNUMBER(SEARCH("endocrine", W38)), 1, 0)</f>
        <v>0</v>
      </c>
      <c r="AG38" t="s">
        <v>9</v>
      </c>
      <c r="AH38" t="s">
        <v>10</v>
      </c>
      <c r="AI38" t="s">
        <v>263</v>
      </c>
      <c r="AJ38">
        <f t="shared" si="16"/>
        <v>0</v>
      </c>
      <c r="AK38">
        <f t="shared" si="17"/>
        <v>0</v>
      </c>
      <c r="AL38">
        <f t="shared" si="18"/>
        <v>0</v>
      </c>
      <c r="AM38">
        <f t="shared" si="19"/>
        <v>0</v>
      </c>
      <c r="AN38">
        <f t="shared" si="20"/>
        <v>1</v>
      </c>
      <c r="AO38">
        <f t="shared" si="21"/>
        <v>0</v>
      </c>
      <c r="AP38" t="s">
        <v>8</v>
      </c>
      <c r="AQ38">
        <f t="shared" si="22"/>
        <v>0</v>
      </c>
      <c r="AR38">
        <f t="shared" si="23"/>
        <v>0</v>
      </c>
      <c r="AS38">
        <f t="shared" si="24"/>
        <v>0</v>
      </c>
      <c r="AT38">
        <f t="shared" si="25"/>
        <v>0</v>
      </c>
      <c r="AU38">
        <f t="shared" si="26"/>
        <v>1</v>
      </c>
    </row>
    <row r="39" spans="1:47" x14ac:dyDescent="0.2">
      <c r="A39" t="s">
        <v>65</v>
      </c>
      <c r="B39">
        <v>2023</v>
      </c>
      <c r="C39">
        <v>2015</v>
      </c>
      <c r="D39" t="s">
        <v>264</v>
      </c>
      <c r="E39">
        <v>1</v>
      </c>
      <c r="F39">
        <v>0</v>
      </c>
      <c r="G39">
        <v>0</v>
      </c>
      <c r="H39">
        <v>133</v>
      </c>
      <c r="I39">
        <v>5</v>
      </c>
      <c r="J39">
        <f t="shared" si="0"/>
        <v>3.7593984962406015</v>
      </c>
      <c r="K39">
        <v>124</v>
      </c>
      <c r="L39">
        <v>4</v>
      </c>
      <c r="M39">
        <v>103</v>
      </c>
      <c r="N39" t="s">
        <v>30</v>
      </c>
      <c r="O39">
        <f t="shared" si="1"/>
        <v>0</v>
      </c>
      <c r="P39">
        <f t="shared" si="2"/>
        <v>0</v>
      </c>
      <c r="Q39">
        <f t="shared" si="3"/>
        <v>1</v>
      </c>
      <c r="R39">
        <f t="shared" si="4"/>
        <v>0</v>
      </c>
      <c r="S39">
        <f t="shared" si="5"/>
        <v>0</v>
      </c>
      <c r="T39">
        <f t="shared" si="6"/>
        <v>0</v>
      </c>
      <c r="U39">
        <f t="shared" si="7"/>
        <v>0</v>
      </c>
      <c r="V39">
        <f t="shared" si="8"/>
        <v>0</v>
      </c>
      <c r="W39" t="str">
        <f>VLOOKUP(A39,[2]!Table2[[NCT Number]:[Intervention type]],11,FALSE)</f>
        <v>Targeted therapy</v>
      </c>
      <c r="X39">
        <f t="shared" si="27"/>
        <v>0</v>
      </c>
      <c r="Y39">
        <f t="shared" si="9"/>
        <v>1</v>
      </c>
      <c r="Z39">
        <f t="shared" si="10"/>
        <v>0</v>
      </c>
      <c r="AA39">
        <f t="shared" si="11"/>
        <v>0</v>
      </c>
      <c r="AB39">
        <f t="shared" si="12"/>
        <v>0</v>
      </c>
      <c r="AC39">
        <f t="shared" si="13"/>
        <v>0</v>
      </c>
      <c r="AD39">
        <f t="shared" si="14"/>
        <v>0</v>
      </c>
      <c r="AE39">
        <f t="shared" si="15"/>
        <v>0</v>
      </c>
      <c r="AF39">
        <f>IF(ISNUMBER(SEARCH("endocrine", W39)), 1, 0)</f>
        <v>0</v>
      </c>
      <c r="AG39" t="s">
        <v>15</v>
      </c>
      <c r="AH39" t="s">
        <v>10</v>
      </c>
      <c r="AI39" t="s">
        <v>263</v>
      </c>
      <c r="AJ39">
        <f t="shared" si="16"/>
        <v>0</v>
      </c>
      <c r="AK39">
        <f t="shared" si="17"/>
        <v>0</v>
      </c>
      <c r="AL39">
        <f t="shared" si="18"/>
        <v>0</v>
      </c>
      <c r="AM39">
        <f t="shared" si="19"/>
        <v>0</v>
      </c>
      <c r="AN39">
        <f t="shared" si="20"/>
        <v>1</v>
      </c>
      <c r="AO39">
        <f t="shared" si="21"/>
        <v>0</v>
      </c>
      <c r="AP39" t="s">
        <v>12</v>
      </c>
      <c r="AQ39">
        <f t="shared" si="22"/>
        <v>1</v>
      </c>
      <c r="AR39">
        <f t="shared" si="23"/>
        <v>0</v>
      </c>
      <c r="AS39">
        <f t="shared" si="24"/>
        <v>0</v>
      </c>
      <c r="AT39">
        <f t="shared" si="25"/>
        <v>0</v>
      </c>
      <c r="AU39">
        <f t="shared" si="26"/>
        <v>0</v>
      </c>
    </row>
    <row r="40" spans="1:47" x14ac:dyDescent="0.2">
      <c r="A40" t="s">
        <v>66</v>
      </c>
      <c r="B40">
        <v>2023</v>
      </c>
      <c r="C40">
        <v>2015</v>
      </c>
      <c r="D40" t="s">
        <v>264</v>
      </c>
      <c r="E40">
        <v>1</v>
      </c>
      <c r="F40">
        <v>0</v>
      </c>
      <c r="G40">
        <v>0</v>
      </c>
      <c r="H40">
        <v>140</v>
      </c>
      <c r="I40">
        <v>0</v>
      </c>
      <c r="J40">
        <f t="shared" si="0"/>
        <v>0</v>
      </c>
      <c r="K40">
        <v>140</v>
      </c>
      <c r="L40">
        <v>0</v>
      </c>
      <c r="M40">
        <v>66</v>
      </c>
      <c r="N40" t="s">
        <v>6</v>
      </c>
      <c r="O40">
        <f t="shared" si="1"/>
        <v>0</v>
      </c>
      <c r="P40">
        <f t="shared" si="2"/>
        <v>1</v>
      </c>
      <c r="Q40">
        <f t="shared" si="3"/>
        <v>0</v>
      </c>
      <c r="R40">
        <f t="shared" si="4"/>
        <v>0</v>
      </c>
      <c r="S40">
        <f t="shared" si="5"/>
        <v>0</v>
      </c>
      <c r="T40">
        <f t="shared" si="6"/>
        <v>1</v>
      </c>
      <c r="U40">
        <f t="shared" si="7"/>
        <v>0</v>
      </c>
      <c r="V40">
        <f t="shared" si="8"/>
        <v>0</v>
      </c>
      <c r="W40" t="str">
        <f>VLOOKUP(A40,[2]!Table2[[NCT Number]:[Intervention type]],11,FALSE)</f>
        <v>Targeted therapy</v>
      </c>
      <c r="X40">
        <f t="shared" si="27"/>
        <v>0</v>
      </c>
      <c r="Y40">
        <f t="shared" si="9"/>
        <v>1</v>
      </c>
      <c r="Z40">
        <f t="shared" si="10"/>
        <v>0</v>
      </c>
      <c r="AA40">
        <f t="shared" si="11"/>
        <v>0</v>
      </c>
      <c r="AB40">
        <f t="shared" si="12"/>
        <v>0</v>
      </c>
      <c r="AC40">
        <f t="shared" si="13"/>
        <v>0</v>
      </c>
      <c r="AD40">
        <f t="shared" si="14"/>
        <v>0</v>
      </c>
      <c r="AE40">
        <f t="shared" si="15"/>
        <v>0</v>
      </c>
      <c r="AF40">
        <f>IF(ISNUMBER(SEARCH("endocrine", W40)), 1, 0)</f>
        <v>0</v>
      </c>
      <c r="AG40" t="s">
        <v>15</v>
      </c>
      <c r="AH40" t="s">
        <v>10</v>
      </c>
      <c r="AI40" t="s">
        <v>263</v>
      </c>
      <c r="AJ40">
        <f t="shared" si="16"/>
        <v>0</v>
      </c>
      <c r="AK40">
        <f t="shared" si="17"/>
        <v>0</v>
      </c>
      <c r="AL40">
        <f t="shared" si="18"/>
        <v>0</v>
      </c>
      <c r="AM40">
        <f t="shared" si="19"/>
        <v>0</v>
      </c>
      <c r="AN40">
        <f t="shared" si="20"/>
        <v>1</v>
      </c>
      <c r="AO40">
        <f t="shared" si="21"/>
        <v>0</v>
      </c>
      <c r="AP40" t="s">
        <v>12</v>
      </c>
      <c r="AQ40">
        <f t="shared" si="22"/>
        <v>1</v>
      </c>
      <c r="AR40">
        <f t="shared" si="23"/>
        <v>0</v>
      </c>
      <c r="AS40">
        <f t="shared" si="24"/>
        <v>0</v>
      </c>
      <c r="AT40">
        <f t="shared" si="25"/>
        <v>0</v>
      </c>
      <c r="AU40">
        <f t="shared" si="26"/>
        <v>0</v>
      </c>
    </row>
    <row r="41" spans="1:47" x14ac:dyDescent="0.2">
      <c r="A41" t="s">
        <v>67</v>
      </c>
      <c r="B41">
        <v>2018</v>
      </c>
      <c r="C41">
        <v>2013</v>
      </c>
      <c r="D41" t="s">
        <v>264</v>
      </c>
      <c r="E41">
        <v>1</v>
      </c>
      <c r="F41">
        <v>0</v>
      </c>
      <c r="G41">
        <v>0</v>
      </c>
      <c r="H41">
        <v>140</v>
      </c>
      <c r="I41">
        <v>1</v>
      </c>
      <c r="J41">
        <f t="shared" si="0"/>
        <v>0.7142857142857143</v>
      </c>
      <c r="K41">
        <v>139</v>
      </c>
      <c r="L41">
        <v>0</v>
      </c>
      <c r="M41">
        <v>65</v>
      </c>
      <c r="N41" t="s">
        <v>6</v>
      </c>
      <c r="O41">
        <f t="shared" si="1"/>
        <v>0</v>
      </c>
      <c r="P41">
        <f t="shared" si="2"/>
        <v>1</v>
      </c>
      <c r="Q41">
        <f t="shared" si="3"/>
        <v>0</v>
      </c>
      <c r="R41">
        <f t="shared" si="4"/>
        <v>0</v>
      </c>
      <c r="S41">
        <f t="shared" si="5"/>
        <v>0</v>
      </c>
      <c r="T41">
        <f t="shared" si="6"/>
        <v>1</v>
      </c>
      <c r="U41">
        <f t="shared" si="7"/>
        <v>0</v>
      </c>
      <c r="V41">
        <f t="shared" si="8"/>
        <v>0</v>
      </c>
      <c r="W41" t="str">
        <f>VLOOKUP(A41,[2]!Table2[[NCT Number]:[Intervention type]],11,FALSE)</f>
        <v>Targeted therapy</v>
      </c>
      <c r="X41">
        <f t="shared" si="27"/>
        <v>0</v>
      </c>
      <c r="Y41">
        <f t="shared" si="9"/>
        <v>1</v>
      </c>
      <c r="Z41">
        <f t="shared" si="10"/>
        <v>0</v>
      </c>
      <c r="AA41">
        <f t="shared" si="11"/>
        <v>0</v>
      </c>
      <c r="AB41">
        <f t="shared" si="12"/>
        <v>0</v>
      </c>
      <c r="AC41">
        <f t="shared" si="13"/>
        <v>0</v>
      </c>
      <c r="AD41">
        <f t="shared" si="14"/>
        <v>0</v>
      </c>
      <c r="AE41">
        <f t="shared" si="15"/>
        <v>0</v>
      </c>
      <c r="AF41">
        <f>IF(ISNUMBER(SEARCH("endocrine", W41)), 1, 0)</f>
        <v>0</v>
      </c>
      <c r="AG41" t="s">
        <v>15</v>
      </c>
      <c r="AH41" t="s">
        <v>10</v>
      </c>
      <c r="AI41" t="s">
        <v>263</v>
      </c>
      <c r="AJ41">
        <f t="shared" si="16"/>
        <v>0</v>
      </c>
      <c r="AK41">
        <f t="shared" si="17"/>
        <v>0</v>
      </c>
      <c r="AL41">
        <f t="shared" si="18"/>
        <v>0</v>
      </c>
      <c r="AM41">
        <f t="shared" si="19"/>
        <v>0</v>
      </c>
      <c r="AN41">
        <f t="shared" si="20"/>
        <v>1</v>
      </c>
      <c r="AO41">
        <f t="shared" si="21"/>
        <v>0</v>
      </c>
      <c r="AP41" t="s">
        <v>12</v>
      </c>
      <c r="AQ41">
        <f t="shared" si="22"/>
        <v>1</v>
      </c>
      <c r="AR41">
        <f t="shared" si="23"/>
        <v>0</v>
      </c>
      <c r="AS41">
        <f t="shared" si="24"/>
        <v>0</v>
      </c>
      <c r="AT41">
        <f t="shared" si="25"/>
        <v>0</v>
      </c>
      <c r="AU41">
        <f t="shared" si="26"/>
        <v>0</v>
      </c>
    </row>
    <row r="42" spans="1:47" x14ac:dyDescent="0.2">
      <c r="A42" t="s">
        <v>68</v>
      </c>
      <c r="B42">
        <v>2020</v>
      </c>
      <c r="C42">
        <v>2014</v>
      </c>
      <c r="D42" t="s">
        <v>264</v>
      </c>
      <c r="E42">
        <v>1</v>
      </c>
      <c r="F42">
        <v>0</v>
      </c>
      <c r="G42">
        <v>0</v>
      </c>
      <c r="H42">
        <v>140</v>
      </c>
      <c r="I42" t="s">
        <v>8</v>
      </c>
      <c r="J42" t="s">
        <v>8</v>
      </c>
      <c r="K42" t="s">
        <v>8</v>
      </c>
      <c r="L42" t="s">
        <v>8</v>
      </c>
      <c r="M42">
        <v>63</v>
      </c>
      <c r="N42" t="s">
        <v>6</v>
      </c>
      <c r="O42">
        <f t="shared" si="1"/>
        <v>0</v>
      </c>
      <c r="P42">
        <f t="shared" si="2"/>
        <v>1</v>
      </c>
      <c r="Q42">
        <f t="shared" si="3"/>
        <v>0</v>
      </c>
      <c r="R42">
        <f t="shared" si="4"/>
        <v>0</v>
      </c>
      <c r="S42">
        <f t="shared" si="5"/>
        <v>0</v>
      </c>
      <c r="T42">
        <f t="shared" si="6"/>
        <v>1</v>
      </c>
      <c r="U42">
        <f t="shared" si="7"/>
        <v>0</v>
      </c>
      <c r="V42">
        <f t="shared" si="8"/>
        <v>0</v>
      </c>
      <c r="W42" t="str">
        <f>VLOOKUP(A42,[2]!Table2[[NCT Number]:[Intervention type]],11,FALSE)</f>
        <v>Targeted therapy</v>
      </c>
      <c r="X42">
        <f t="shared" si="27"/>
        <v>0</v>
      </c>
      <c r="Y42">
        <f t="shared" si="9"/>
        <v>1</v>
      </c>
      <c r="Z42">
        <f t="shared" si="10"/>
        <v>0</v>
      </c>
      <c r="AA42">
        <f t="shared" si="11"/>
        <v>0</v>
      </c>
      <c r="AB42">
        <f t="shared" si="12"/>
        <v>0</v>
      </c>
      <c r="AC42">
        <f t="shared" si="13"/>
        <v>0</v>
      </c>
      <c r="AD42">
        <f t="shared" si="14"/>
        <v>0</v>
      </c>
      <c r="AE42">
        <f t="shared" si="15"/>
        <v>0</v>
      </c>
      <c r="AF42">
        <f>IF(ISNUMBER(SEARCH("endocrine", W42)), 1, 0)</f>
        <v>0</v>
      </c>
      <c r="AG42" t="s">
        <v>15</v>
      </c>
      <c r="AH42" t="s">
        <v>10</v>
      </c>
      <c r="AI42" t="s">
        <v>8</v>
      </c>
      <c r="AJ42">
        <f t="shared" si="16"/>
        <v>0</v>
      </c>
      <c r="AK42">
        <f t="shared" si="17"/>
        <v>0</v>
      </c>
      <c r="AL42">
        <f t="shared" si="18"/>
        <v>0</v>
      </c>
      <c r="AM42">
        <f t="shared" si="19"/>
        <v>0</v>
      </c>
      <c r="AN42">
        <f t="shared" si="20"/>
        <v>0</v>
      </c>
      <c r="AO42">
        <f t="shared" si="21"/>
        <v>1</v>
      </c>
      <c r="AP42" t="s">
        <v>8</v>
      </c>
      <c r="AQ42">
        <f t="shared" si="22"/>
        <v>0</v>
      </c>
      <c r="AR42">
        <f t="shared" si="23"/>
        <v>0</v>
      </c>
      <c r="AS42">
        <f t="shared" si="24"/>
        <v>0</v>
      </c>
      <c r="AT42">
        <f t="shared" si="25"/>
        <v>0</v>
      </c>
      <c r="AU42">
        <f t="shared" si="26"/>
        <v>1</v>
      </c>
    </row>
    <row r="43" spans="1:47" x14ac:dyDescent="0.2">
      <c r="A43" t="s">
        <v>69</v>
      </c>
      <c r="B43">
        <v>2019</v>
      </c>
      <c r="C43">
        <v>2017</v>
      </c>
      <c r="D43" t="s">
        <v>265</v>
      </c>
      <c r="E43">
        <v>0</v>
      </c>
      <c r="F43">
        <v>1</v>
      </c>
      <c r="G43">
        <v>0</v>
      </c>
      <c r="H43">
        <v>144</v>
      </c>
      <c r="I43">
        <v>1</v>
      </c>
      <c r="J43">
        <f t="shared" si="0"/>
        <v>0.69444444444444442</v>
      </c>
      <c r="K43">
        <v>127</v>
      </c>
      <c r="L43">
        <v>16</v>
      </c>
      <c r="M43">
        <v>144</v>
      </c>
      <c r="N43" t="s">
        <v>30</v>
      </c>
      <c r="O43">
        <f t="shared" si="1"/>
        <v>0</v>
      </c>
      <c r="P43">
        <f t="shared" si="2"/>
        <v>0</v>
      </c>
      <c r="Q43">
        <f t="shared" si="3"/>
        <v>1</v>
      </c>
      <c r="R43">
        <f t="shared" si="4"/>
        <v>0</v>
      </c>
      <c r="S43">
        <f t="shared" si="5"/>
        <v>0</v>
      </c>
      <c r="T43">
        <f t="shared" si="6"/>
        <v>0</v>
      </c>
      <c r="U43">
        <f t="shared" si="7"/>
        <v>0</v>
      </c>
      <c r="V43">
        <f t="shared" si="8"/>
        <v>0</v>
      </c>
      <c r="W43" t="str">
        <f>VLOOKUP(A43,[2]!Table2[[NCT Number]:[Intervention type]],11,FALSE)</f>
        <v>endocrine</v>
      </c>
      <c r="X43">
        <f t="shared" si="27"/>
        <v>0</v>
      </c>
      <c r="Y43">
        <f t="shared" si="9"/>
        <v>0</v>
      </c>
      <c r="Z43">
        <f t="shared" si="10"/>
        <v>0</v>
      </c>
      <c r="AA43">
        <f t="shared" si="11"/>
        <v>0</v>
      </c>
      <c r="AB43">
        <f t="shared" si="12"/>
        <v>0</v>
      </c>
      <c r="AC43">
        <f t="shared" si="13"/>
        <v>0</v>
      </c>
      <c r="AD43">
        <f t="shared" si="14"/>
        <v>0</v>
      </c>
      <c r="AE43">
        <f t="shared" si="15"/>
        <v>0</v>
      </c>
      <c r="AF43">
        <f>IF(ISNUMBER(SEARCH("endocrine", W43)), 1, 0)</f>
        <v>1</v>
      </c>
      <c r="AG43" t="s">
        <v>15</v>
      </c>
      <c r="AH43" t="s">
        <v>10</v>
      </c>
      <c r="AI43" t="s">
        <v>42</v>
      </c>
      <c r="AJ43">
        <f t="shared" si="16"/>
        <v>0</v>
      </c>
      <c r="AK43">
        <f t="shared" si="17"/>
        <v>0</v>
      </c>
      <c r="AL43">
        <f t="shared" si="18"/>
        <v>1</v>
      </c>
      <c r="AM43">
        <f t="shared" si="19"/>
        <v>0</v>
      </c>
      <c r="AN43">
        <f t="shared" si="20"/>
        <v>0</v>
      </c>
      <c r="AO43">
        <f t="shared" si="21"/>
        <v>0</v>
      </c>
      <c r="AP43" t="s">
        <v>8</v>
      </c>
      <c r="AQ43">
        <f t="shared" si="22"/>
        <v>0</v>
      </c>
      <c r="AR43">
        <f t="shared" si="23"/>
        <v>0</v>
      </c>
      <c r="AS43">
        <f t="shared" si="24"/>
        <v>0</v>
      </c>
      <c r="AT43">
        <f t="shared" si="25"/>
        <v>0</v>
      </c>
      <c r="AU43">
        <f t="shared" si="26"/>
        <v>1</v>
      </c>
    </row>
    <row r="44" spans="1:47" x14ac:dyDescent="0.2">
      <c r="A44" t="s">
        <v>71</v>
      </c>
      <c r="B44">
        <v>2022</v>
      </c>
      <c r="C44">
        <v>2017</v>
      </c>
      <c r="D44" t="s">
        <v>265</v>
      </c>
      <c r="E44">
        <v>0</v>
      </c>
      <c r="F44">
        <v>1</v>
      </c>
      <c r="G44">
        <v>0</v>
      </c>
      <c r="H44">
        <v>144</v>
      </c>
      <c r="I44" t="s">
        <v>8</v>
      </c>
      <c r="J44" t="s">
        <v>8</v>
      </c>
      <c r="K44" t="s">
        <v>8</v>
      </c>
      <c r="L44" t="s">
        <v>8</v>
      </c>
      <c r="M44">
        <v>118</v>
      </c>
      <c r="N44" t="s">
        <v>18</v>
      </c>
      <c r="O44">
        <f t="shared" si="1"/>
        <v>0</v>
      </c>
      <c r="P44">
        <f t="shared" si="2"/>
        <v>0</v>
      </c>
      <c r="Q44">
        <f t="shared" si="3"/>
        <v>0</v>
      </c>
      <c r="R44">
        <f t="shared" si="4"/>
        <v>0</v>
      </c>
      <c r="S44">
        <f t="shared" si="5"/>
        <v>0</v>
      </c>
      <c r="T44">
        <f t="shared" si="6"/>
        <v>0</v>
      </c>
      <c r="U44">
        <f t="shared" si="7"/>
        <v>1</v>
      </c>
      <c r="V44">
        <f t="shared" si="8"/>
        <v>0</v>
      </c>
      <c r="W44" t="str">
        <f>VLOOKUP(A44,[2]!Table2[[NCT Number]:[Intervention type]],11,FALSE)</f>
        <v>immunotherapy</v>
      </c>
      <c r="X44">
        <f t="shared" si="27"/>
        <v>1</v>
      </c>
      <c r="Y44">
        <f t="shared" si="9"/>
        <v>0</v>
      </c>
      <c r="Z44">
        <f t="shared" si="10"/>
        <v>0</v>
      </c>
      <c r="AA44">
        <f t="shared" si="11"/>
        <v>0</v>
      </c>
      <c r="AB44">
        <f t="shared" si="12"/>
        <v>0</v>
      </c>
      <c r="AC44">
        <f t="shared" si="13"/>
        <v>0</v>
      </c>
      <c r="AD44">
        <f t="shared" si="14"/>
        <v>0</v>
      </c>
      <c r="AE44">
        <f t="shared" si="15"/>
        <v>0</v>
      </c>
      <c r="AF44">
        <f>IF(ISNUMBER(SEARCH("endocrine", W44)), 1, 0)</f>
        <v>0</v>
      </c>
      <c r="AG44" t="s">
        <v>15</v>
      </c>
      <c r="AH44" t="s">
        <v>10</v>
      </c>
      <c r="AI44" t="s">
        <v>263</v>
      </c>
      <c r="AJ44">
        <f t="shared" si="16"/>
        <v>0</v>
      </c>
      <c r="AK44">
        <f t="shared" si="17"/>
        <v>0</v>
      </c>
      <c r="AL44">
        <f t="shared" si="18"/>
        <v>0</v>
      </c>
      <c r="AM44">
        <f t="shared" si="19"/>
        <v>0</v>
      </c>
      <c r="AN44">
        <f t="shared" si="20"/>
        <v>1</v>
      </c>
      <c r="AO44">
        <f t="shared" si="21"/>
        <v>0</v>
      </c>
      <c r="AP44" t="s">
        <v>12</v>
      </c>
      <c r="AQ44">
        <f t="shared" si="22"/>
        <v>1</v>
      </c>
      <c r="AR44">
        <f t="shared" si="23"/>
        <v>0</v>
      </c>
      <c r="AS44">
        <f t="shared" si="24"/>
        <v>0</v>
      </c>
      <c r="AT44">
        <f t="shared" si="25"/>
        <v>0</v>
      </c>
      <c r="AU44">
        <f t="shared" si="26"/>
        <v>0</v>
      </c>
    </row>
    <row r="45" spans="1:47" x14ac:dyDescent="0.2">
      <c r="A45" t="s">
        <v>72</v>
      </c>
      <c r="B45">
        <v>2020</v>
      </c>
      <c r="C45">
        <v>2017</v>
      </c>
      <c r="D45" t="s">
        <v>265</v>
      </c>
      <c r="E45">
        <v>0</v>
      </c>
      <c r="F45">
        <v>1</v>
      </c>
      <c r="G45">
        <v>0</v>
      </c>
      <c r="H45">
        <v>151</v>
      </c>
      <c r="I45">
        <v>1</v>
      </c>
      <c r="J45">
        <f t="shared" si="0"/>
        <v>0.66225165562913912</v>
      </c>
      <c r="K45">
        <v>49</v>
      </c>
      <c r="L45">
        <v>101</v>
      </c>
      <c r="M45">
        <v>88</v>
      </c>
      <c r="N45" t="s">
        <v>56</v>
      </c>
      <c r="O45">
        <f t="shared" si="1"/>
        <v>0</v>
      </c>
      <c r="P45">
        <f t="shared" si="2"/>
        <v>1</v>
      </c>
      <c r="Q45">
        <f t="shared" si="3"/>
        <v>0</v>
      </c>
      <c r="R45">
        <f t="shared" si="4"/>
        <v>0</v>
      </c>
      <c r="S45">
        <f t="shared" si="5"/>
        <v>0</v>
      </c>
      <c r="T45">
        <f t="shared" si="6"/>
        <v>0</v>
      </c>
      <c r="U45">
        <f t="shared" si="7"/>
        <v>0</v>
      </c>
      <c r="V45">
        <f t="shared" si="8"/>
        <v>0</v>
      </c>
      <c r="W45" t="str">
        <f>VLOOKUP(A45,[2]!Table2[[NCT Number]:[Intervention type]],11,FALSE)</f>
        <v>Targeted therapy+chemo</v>
      </c>
      <c r="X45">
        <f t="shared" si="27"/>
        <v>0</v>
      </c>
      <c r="Y45">
        <f t="shared" si="9"/>
        <v>1</v>
      </c>
      <c r="Z45">
        <f t="shared" si="10"/>
        <v>0</v>
      </c>
      <c r="AA45">
        <f t="shared" si="11"/>
        <v>0</v>
      </c>
      <c r="AB45">
        <f t="shared" si="12"/>
        <v>0</v>
      </c>
      <c r="AC45">
        <f t="shared" si="13"/>
        <v>0</v>
      </c>
      <c r="AD45">
        <f t="shared" si="14"/>
        <v>1</v>
      </c>
      <c r="AE45">
        <f t="shared" si="15"/>
        <v>0</v>
      </c>
      <c r="AF45">
        <f>IF(ISNUMBER(SEARCH("endocrine", W45)), 1, 0)</f>
        <v>0</v>
      </c>
      <c r="AG45" t="s">
        <v>9</v>
      </c>
      <c r="AH45" t="s">
        <v>10</v>
      </c>
      <c r="AI45" t="s">
        <v>11</v>
      </c>
      <c r="AJ45">
        <f t="shared" si="16"/>
        <v>0</v>
      </c>
      <c r="AK45">
        <f t="shared" si="17"/>
        <v>1</v>
      </c>
      <c r="AL45">
        <f t="shared" si="18"/>
        <v>0</v>
      </c>
      <c r="AM45">
        <f t="shared" si="19"/>
        <v>0</v>
      </c>
      <c r="AN45">
        <f t="shared" si="20"/>
        <v>0</v>
      </c>
      <c r="AO45">
        <f t="shared" si="21"/>
        <v>0</v>
      </c>
      <c r="AP45" t="s">
        <v>8</v>
      </c>
      <c r="AQ45">
        <f t="shared" si="22"/>
        <v>0</v>
      </c>
      <c r="AR45">
        <f t="shared" si="23"/>
        <v>0</v>
      </c>
      <c r="AS45">
        <f t="shared" si="24"/>
        <v>0</v>
      </c>
      <c r="AT45">
        <f t="shared" si="25"/>
        <v>0</v>
      </c>
      <c r="AU45">
        <f t="shared" si="26"/>
        <v>1</v>
      </c>
    </row>
    <row r="46" spans="1:47" x14ac:dyDescent="0.2">
      <c r="A46" t="s">
        <v>73</v>
      </c>
      <c r="B46">
        <v>2022</v>
      </c>
      <c r="C46">
        <v>2019</v>
      </c>
      <c r="D46" t="s">
        <v>266</v>
      </c>
      <c r="E46">
        <v>0</v>
      </c>
      <c r="F46">
        <v>0</v>
      </c>
      <c r="G46">
        <v>1</v>
      </c>
      <c r="H46">
        <v>154</v>
      </c>
      <c r="I46">
        <v>5</v>
      </c>
      <c r="J46">
        <f t="shared" si="0"/>
        <v>3.2467532467532467</v>
      </c>
      <c r="K46">
        <v>119</v>
      </c>
      <c r="L46">
        <v>30</v>
      </c>
      <c r="M46">
        <v>89</v>
      </c>
      <c r="N46" t="s">
        <v>6</v>
      </c>
      <c r="O46">
        <f t="shared" si="1"/>
        <v>0</v>
      </c>
      <c r="P46">
        <f t="shared" si="2"/>
        <v>1</v>
      </c>
      <c r="Q46">
        <f t="shared" si="3"/>
        <v>0</v>
      </c>
      <c r="R46">
        <f t="shared" si="4"/>
        <v>0</v>
      </c>
      <c r="S46">
        <f t="shared" si="5"/>
        <v>0</v>
      </c>
      <c r="T46">
        <f t="shared" si="6"/>
        <v>1</v>
      </c>
      <c r="U46">
        <f t="shared" si="7"/>
        <v>0</v>
      </c>
      <c r="V46">
        <f t="shared" si="8"/>
        <v>0</v>
      </c>
      <c r="W46" t="str">
        <f>VLOOKUP(A46,[2]!Table2[[NCT Number]:[Intervention type]],11,FALSE)</f>
        <v>Targeted therapy+chemo</v>
      </c>
      <c r="X46">
        <f t="shared" si="27"/>
        <v>0</v>
      </c>
      <c r="Y46">
        <f t="shared" si="9"/>
        <v>1</v>
      </c>
      <c r="Z46">
        <f t="shared" si="10"/>
        <v>0</v>
      </c>
      <c r="AA46">
        <f t="shared" si="11"/>
        <v>0</v>
      </c>
      <c r="AB46">
        <f t="shared" si="12"/>
        <v>0</v>
      </c>
      <c r="AC46">
        <f t="shared" si="13"/>
        <v>0</v>
      </c>
      <c r="AD46">
        <f t="shared" si="14"/>
        <v>1</v>
      </c>
      <c r="AE46">
        <f t="shared" si="15"/>
        <v>0</v>
      </c>
      <c r="AF46">
        <f>IF(ISNUMBER(SEARCH("endocrine", W46)), 1, 0)</f>
        <v>0</v>
      </c>
      <c r="AG46" t="s">
        <v>9</v>
      </c>
      <c r="AH46" t="s">
        <v>10</v>
      </c>
      <c r="AI46" t="s">
        <v>11</v>
      </c>
      <c r="AJ46">
        <f t="shared" si="16"/>
        <v>0</v>
      </c>
      <c r="AK46">
        <f t="shared" si="17"/>
        <v>1</v>
      </c>
      <c r="AL46">
        <f t="shared" si="18"/>
        <v>0</v>
      </c>
      <c r="AM46">
        <f t="shared" si="19"/>
        <v>0</v>
      </c>
      <c r="AN46">
        <f t="shared" si="20"/>
        <v>0</v>
      </c>
      <c r="AO46">
        <f t="shared" si="21"/>
        <v>0</v>
      </c>
      <c r="AP46" t="s">
        <v>12</v>
      </c>
      <c r="AQ46">
        <f t="shared" si="22"/>
        <v>1</v>
      </c>
      <c r="AR46">
        <f t="shared" si="23"/>
        <v>0</v>
      </c>
      <c r="AS46">
        <f t="shared" si="24"/>
        <v>0</v>
      </c>
      <c r="AT46">
        <f t="shared" si="25"/>
        <v>0</v>
      </c>
      <c r="AU46">
        <f t="shared" si="26"/>
        <v>0</v>
      </c>
    </row>
    <row r="47" spans="1:47" x14ac:dyDescent="0.2">
      <c r="A47" t="s">
        <v>74</v>
      </c>
      <c r="B47">
        <v>2023</v>
      </c>
      <c r="C47">
        <v>2014</v>
      </c>
      <c r="D47" t="s">
        <v>264</v>
      </c>
      <c r="E47">
        <v>1</v>
      </c>
      <c r="F47">
        <v>0</v>
      </c>
      <c r="G47">
        <v>0</v>
      </c>
      <c r="H47">
        <v>154</v>
      </c>
      <c r="I47">
        <v>5</v>
      </c>
      <c r="J47">
        <f t="shared" si="0"/>
        <v>3.2467532467532467</v>
      </c>
      <c r="K47">
        <v>141</v>
      </c>
      <c r="L47">
        <v>8</v>
      </c>
      <c r="M47">
        <v>84</v>
      </c>
      <c r="N47" t="s">
        <v>56</v>
      </c>
      <c r="O47">
        <f t="shared" si="1"/>
        <v>0</v>
      </c>
      <c r="P47">
        <f t="shared" si="2"/>
        <v>1</v>
      </c>
      <c r="Q47">
        <f t="shared" si="3"/>
        <v>0</v>
      </c>
      <c r="R47">
        <f t="shared" si="4"/>
        <v>0</v>
      </c>
      <c r="S47">
        <f t="shared" si="5"/>
        <v>0</v>
      </c>
      <c r="T47">
        <f t="shared" si="6"/>
        <v>0</v>
      </c>
      <c r="U47">
        <f t="shared" si="7"/>
        <v>0</v>
      </c>
      <c r="V47">
        <f t="shared" si="8"/>
        <v>0</v>
      </c>
      <c r="W47" t="str">
        <f>VLOOKUP(A47,[2]!Table2[[NCT Number]:[Intervention type]],11,FALSE)</f>
        <v>Targeted therapy</v>
      </c>
      <c r="X47">
        <f t="shared" si="27"/>
        <v>0</v>
      </c>
      <c r="Y47">
        <f t="shared" si="9"/>
        <v>1</v>
      </c>
      <c r="Z47">
        <f t="shared" si="10"/>
        <v>0</v>
      </c>
      <c r="AA47">
        <f t="shared" si="11"/>
        <v>0</v>
      </c>
      <c r="AB47">
        <f t="shared" si="12"/>
        <v>0</v>
      </c>
      <c r="AC47">
        <f t="shared" si="13"/>
        <v>0</v>
      </c>
      <c r="AD47">
        <f t="shared" si="14"/>
        <v>0</v>
      </c>
      <c r="AE47">
        <f t="shared" si="15"/>
        <v>0</v>
      </c>
      <c r="AF47">
        <f>IF(ISNUMBER(SEARCH("endocrine", W47)), 1, 0)</f>
        <v>0</v>
      </c>
      <c r="AG47" t="s">
        <v>15</v>
      </c>
      <c r="AH47" t="s">
        <v>10</v>
      </c>
      <c r="AI47" t="s">
        <v>263</v>
      </c>
      <c r="AJ47">
        <f t="shared" si="16"/>
        <v>0</v>
      </c>
      <c r="AK47">
        <f t="shared" si="17"/>
        <v>0</v>
      </c>
      <c r="AL47">
        <f t="shared" si="18"/>
        <v>0</v>
      </c>
      <c r="AM47">
        <f t="shared" si="19"/>
        <v>0</v>
      </c>
      <c r="AN47">
        <f t="shared" si="20"/>
        <v>1</v>
      </c>
      <c r="AO47">
        <f t="shared" si="21"/>
        <v>0</v>
      </c>
      <c r="AP47" t="s">
        <v>8</v>
      </c>
      <c r="AQ47">
        <f t="shared" si="22"/>
        <v>0</v>
      </c>
      <c r="AR47">
        <f t="shared" si="23"/>
        <v>0</v>
      </c>
      <c r="AS47">
        <f t="shared" si="24"/>
        <v>0</v>
      </c>
      <c r="AT47">
        <f t="shared" si="25"/>
        <v>0</v>
      </c>
      <c r="AU47">
        <f t="shared" si="26"/>
        <v>1</v>
      </c>
    </row>
    <row r="48" spans="1:47" x14ac:dyDescent="0.2">
      <c r="A48" t="s">
        <v>75</v>
      </c>
      <c r="B48">
        <v>2023</v>
      </c>
      <c r="C48">
        <v>2014</v>
      </c>
      <c r="D48" t="s">
        <v>264</v>
      </c>
      <c r="E48">
        <v>1</v>
      </c>
      <c r="F48">
        <v>0</v>
      </c>
      <c r="G48">
        <v>0</v>
      </c>
      <c r="H48">
        <v>156</v>
      </c>
      <c r="I48">
        <v>6</v>
      </c>
      <c r="J48">
        <f t="shared" si="0"/>
        <v>3.8461538461538463</v>
      </c>
      <c r="K48">
        <v>127</v>
      </c>
      <c r="L48">
        <v>23</v>
      </c>
      <c r="M48">
        <v>93</v>
      </c>
      <c r="N48" t="s">
        <v>6</v>
      </c>
      <c r="O48">
        <f t="shared" si="1"/>
        <v>0</v>
      </c>
      <c r="P48">
        <f t="shared" si="2"/>
        <v>1</v>
      </c>
      <c r="Q48">
        <f t="shared" si="3"/>
        <v>0</v>
      </c>
      <c r="R48">
        <f t="shared" si="4"/>
        <v>0</v>
      </c>
      <c r="S48">
        <f t="shared" si="5"/>
        <v>0</v>
      </c>
      <c r="T48">
        <f t="shared" si="6"/>
        <v>1</v>
      </c>
      <c r="U48">
        <f t="shared" si="7"/>
        <v>0</v>
      </c>
      <c r="V48">
        <f t="shared" si="8"/>
        <v>0</v>
      </c>
      <c r="W48" t="str">
        <f>VLOOKUP(A48,[2]!Table2[[NCT Number]:[Intervention type]],11,FALSE)</f>
        <v>Targeted therapy</v>
      </c>
      <c r="X48">
        <f t="shared" si="27"/>
        <v>0</v>
      </c>
      <c r="Y48">
        <f t="shared" si="9"/>
        <v>1</v>
      </c>
      <c r="Z48">
        <f t="shared" si="10"/>
        <v>0</v>
      </c>
      <c r="AA48">
        <f t="shared" si="11"/>
        <v>0</v>
      </c>
      <c r="AB48">
        <f t="shared" si="12"/>
        <v>0</v>
      </c>
      <c r="AC48">
        <f t="shared" si="13"/>
        <v>0</v>
      </c>
      <c r="AD48">
        <f t="shared" si="14"/>
        <v>0</v>
      </c>
      <c r="AE48">
        <f t="shared" si="15"/>
        <v>0</v>
      </c>
      <c r="AF48">
        <f>IF(ISNUMBER(SEARCH("endocrine", W48)), 1, 0)</f>
        <v>0</v>
      </c>
      <c r="AG48" t="s">
        <v>15</v>
      </c>
      <c r="AH48" t="s">
        <v>10</v>
      </c>
      <c r="AI48" t="s">
        <v>263</v>
      </c>
      <c r="AJ48">
        <f t="shared" si="16"/>
        <v>0</v>
      </c>
      <c r="AK48">
        <f t="shared" si="17"/>
        <v>0</v>
      </c>
      <c r="AL48">
        <f t="shared" si="18"/>
        <v>0</v>
      </c>
      <c r="AM48">
        <f t="shared" si="19"/>
        <v>0</v>
      </c>
      <c r="AN48">
        <f t="shared" si="20"/>
        <v>1</v>
      </c>
      <c r="AO48">
        <f t="shared" si="21"/>
        <v>0</v>
      </c>
      <c r="AP48" t="s">
        <v>8</v>
      </c>
      <c r="AQ48">
        <f t="shared" si="22"/>
        <v>0</v>
      </c>
      <c r="AR48">
        <f t="shared" si="23"/>
        <v>0</v>
      </c>
      <c r="AS48">
        <f t="shared" si="24"/>
        <v>0</v>
      </c>
      <c r="AT48">
        <f t="shared" si="25"/>
        <v>0</v>
      </c>
      <c r="AU48">
        <f t="shared" si="26"/>
        <v>1</v>
      </c>
    </row>
    <row r="49" spans="1:47" x14ac:dyDescent="0.2">
      <c r="A49" t="s">
        <v>76</v>
      </c>
      <c r="B49">
        <v>2023</v>
      </c>
      <c r="C49">
        <v>2016</v>
      </c>
      <c r="D49" t="s">
        <v>265</v>
      </c>
      <c r="E49">
        <v>0</v>
      </c>
      <c r="F49">
        <v>1</v>
      </c>
      <c r="G49">
        <v>0</v>
      </c>
      <c r="H49">
        <v>157</v>
      </c>
      <c r="I49">
        <v>8</v>
      </c>
      <c r="J49">
        <f t="shared" si="0"/>
        <v>5.0955414012738851</v>
      </c>
      <c r="K49">
        <v>146</v>
      </c>
      <c r="L49">
        <v>3</v>
      </c>
      <c r="M49">
        <v>129</v>
      </c>
      <c r="N49" t="s">
        <v>30</v>
      </c>
      <c r="O49">
        <f t="shared" si="1"/>
        <v>0</v>
      </c>
      <c r="P49">
        <f t="shared" si="2"/>
        <v>0</v>
      </c>
      <c r="Q49">
        <f t="shared" si="3"/>
        <v>1</v>
      </c>
      <c r="R49">
        <f t="shared" si="4"/>
        <v>0</v>
      </c>
      <c r="S49">
        <f t="shared" si="5"/>
        <v>0</v>
      </c>
      <c r="T49">
        <f t="shared" si="6"/>
        <v>0</v>
      </c>
      <c r="U49">
        <f t="shared" si="7"/>
        <v>0</v>
      </c>
      <c r="V49">
        <f t="shared" si="8"/>
        <v>0</v>
      </c>
      <c r="W49" t="str">
        <f>VLOOKUP(A49,[2]!Table2[[NCT Number]:[Intervention type]],11,FALSE)</f>
        <v>biologic agent</v>
      </c>
      <c r="X49">
        <f t="shared" si="27"/>
        <v>0</v>
      </c>
      <c r="Y49">
        <f t="shared" si="9"/>
        <v>0</v>
      </c>
      <c r="Z49">
        <f t="shared" si="10"/>
        <v>0</v>
      </c>
      <c r="AA49">
        <f t="shared" si="11"/>
        <v>1</v>
      </c>
      <c r="AB49">
        <f t="shared" si="12"/>
        <v>0</v>
      </c>
      <c r="AC49">
        <f t="shared" si="13"/>
        <v>0</v>
      </c>
      <c r="AD49">
        <f t="shared" si="14"/>
        <v>0</v>
      </c>
      <c r="AE49">
        <f t="shared" si="15"/>
        <v>0</v>
      </c>
      <c r="AF49">
        <f>IF(ISNUMBER(SEARCH("endocrine", W49)), 1, 0)</f>
        <v>0</v>
      </c>
      <c r="AG49" t="s">
        <v>15</v>
      </c>
      <c r="AH49" t="s">
        <v>10</v>
      </c>
      <c r="AI49" t="s">
        <v>8</v>
      </c>
      <c r="AJ49">
        <f t="shared" si="16"/>
        <v>0</v>
      </c>
      <c r="AK49">
        <f t="shared" si="17"/>
        <v>0</v>
      </c>
      <c r="AL49">
        <f t="shared" si="18"/>
        <v>0</v>
      </c>
      <c r="AM49">
        <f t="shared" si="19"/>
        <v>0</v>
      </c>
      <c r="AN49">
        <f t="shared" si="20"/>
        <v>0</v>
      </c>
      <c r="AO49">
        <f t="shared" si="21"/>
        <v>1</v>
      </c>
      <c r="AP49" t="s">
        <v>8</v>
      </c>
      <c r="AQ49">
        <f t="shared" si="22"/>
        <v>0</v>
      </c>
      <c r="AR49">
        <f t="shared" si="23"/>
        <v>0</v>
      </c>
      <c r="AS49">
        <f t="shared" si="24"/>
        <v>0</v>
      </c>
      <c r="AT49">
        <f t="shared" si="25"/>
        <v>0</v>
      </c>
      <c r="AU49">
        <f t="shared" si="26"/>
        <v>1</v>
      </c>
    </row>
    <row r="50" spans="1:47" x14ac:dyDescent="0.2">
      <c r="A50" t="s">
        <v>78</v>
      </c>
      <c r="B50">
        <v>2022</v>
      </c>
      <c r="C50">
        <v>2016</v>
      </c>
      <c r="D50" t="s">
        <v>265</v>
      </c>
      <c r="E50">
        <v>0</v>
      </c>
      <c r="F50">
        <v>1</v>
      </c>
      <c r="G50">
        <v>0</v>
      </c>
      <c r="H50">
        <v>170</v>
      </c>
      <c r="I50">
        <v>13</v>
      </c>
      <c r="J50">
        <f t="shared" si="0"/>
        <v>7.6470588235294121</v>
      </c>
      <c r="K50">
        <v>155</v>
      </c>
      <c r="L50">
        <v>2</v>
      </c>
      <c r="M50">
        <v>113</v>
      </c>
      <c r="N50" t="s">
        <v>6</v>
      </c>
      <c r="O50">
        <f t="shared" si="1"/>
        <v>0</v>
      </c>
      <c r="P50">
        <f t="shared" si="2"/>
        <v>1</v>
      </c>
      <c r="Q50">
        <f t="shared" si="3"/>
        <v>0</v>
      </c>
      <c r="R50">
        <f t="shared" si="4"/>
        <v>0</v>
      </c>
      <c r="S50">
        <f t="shared" si="5"/>
        <v>0</v>
      </c>
      <c r="T50">
        <f t="shared" si="6"/>
        <v>1</v>
      </c>
      <c r="U50">
        <f t="shared" si="7"/>
        <v>0</v>
      </c>
      <c r="V50">
        <f t="shared" si="8"/>
        <v>0</v>
      </c>
      <c r="W50" t="str">
        <f>VLOOKUP(A50,[2]!Table2[[NCT Number]:[Intervention type]],11,FALSE)</f>
        <v>immunotherapy+chemo</v>
      </c>
      <c r="X50">
        <f t="shared" si="27"/>
        <v>1</v>
      </c>
      <c r="Y50">
        <f t="shared" si="9"/>
        <v>0</v>
      </c>
      <c r="Z50">
        <f t="shared" si="10"/>
        <v>0</v>
      </c>
      <c r="AA50">
        <f t="shared" si="11"/>
        <v>0</v>
      </c>
      <c r="AB50">
        <f t="shared" si="12"/>
        <v>0</v>
      </c>
      <c r="AC50">
        <f t="shared" si="13"/>
        <v>0</v>
      </c>
      <c r="AD50">
        <f t="shared" si="14"/>
        <v>0</v>
      </c>
      <c r="AE50">
        <f t="shared" si="15"/>
        <v>1</v>
      </c>
      <c r="AF50">
        <f>IF(ISNUMBER(SEARCH("endocrine", W50)), 1, 0)</f>
        <v>0</v>
      </c>
      <c r="AG50" t="s">
        <v>9</v>
      </c>
      <c r="AH50" t="s">
        <v>10</v>
      </c>
      <c r="AI50" t="s">
        <v>11</v>
      </c>
      <c r="AJ50">
        <f t="shared" si="16"/>
        <v>0</v>
      </c>
      <c r="AK50">
        <f t="shared" si="17"/>
        <v>1</v>
      </c>
      <c r="AL50">
        <f t="shared" si="18"/>
        <v>0</v>
      </c>
      <c r="AM50">
        <f t="shared" si="19"/>
        <v>0</v>
      </c>
      <c r="AN50">
        <f t="shared" si="20"/>
        <v>0</v>
      </c>
      <c r="AO50">
        <f t="shared" si="21"/>
        <v>0</v>
      </c>
      <c r="AP50" t="s">
        <v>12</v>
      </c>
      <c r="AQ50">
        <f t="shared" si="22"/>
        <v>1</v>
      </c>
      <c r="AR50">
        <f t="shared" si="23"/>
        <v>0</v>
      </c>
      <c r="AS50">
        <f t="shared" si="24"/>
        <v>0</v>
      </c>
      <c r="AT50">
        <f t="shared" si="25"/>
        <v>0</v>
      </c>
      <c r="AU50">
        <f t="shared" si="26"/>
        <v>0</v>
      </c>
    </row>
    <row r="51" spans="1:47" x14ac:dyDescent="0.2">
      <c r="A51" t="s">
        <v>79</v>
      </c>
      <c r="B51">
        <v>2022</v>
      </c>
      <c r="C51">
        <v>2018</v>
      </c>
      <c r="D51" t="s">
        <v>265</v>
      </c>
      <c r="E51">
        <v>0</v>
      </c>
      <c r="F51">
        <v>1</v>
      </c>
      <c r="G51">
        <v>0</v>
      </c>
      <c r="H51">
        <v>175</v>
      </c>
      <c r="I51">
        <v>1</v>
      </c>
      <c r="J51">
        <f t="shared" si="0"/>
        <v>0.5714285714285714</v>
      </c>
      <c r="K51">
        <v>110</v>
      </c>
      <c r="L51">
        <v>64</v>
      </c>
      <c r="M51">
        <v>30</v>
      </c>
      <c r="N51" t="s">
        <v>30</v>
      </c>
      <c r="O51">
        <f t="shared" si="1"/>
        <v>0</v>
      </c>
      <c r="P51">
        <f t="shared" si="2"/>
        <v>0</v>
      </c>
      <c r="Q51">
        <f t="shared" si="3"/>
        <v>1</v>
      </c>
      <c r="R51">
        <f t="shared" si="4"/>
        <v>0</v>
      </c>
      <c r="S51">
        <f t="shared" si="5"/>
        <v>0</v>
      </c>
      <c r="T51">
        <f t="shared" si="6"/>
        <v>0</v>
      </c>
      <c r="U51">
        <f t="shared" si="7"/>
        <v>0</v>
      </c>
      <c r="V51">
        <f t="shared" si="8"/>
        <v>0</v>
      </c>
      <c r="W51" t="str">
        <f>VLOOKUP(A51,[2]!Table2[[NCT Number]:[Intervention type]],11,FALSE)</f>
        <v>Targeted therapy</v>
      </c>
      <c r="X51">
        <f t="shared" si="27"/>
        <v>0</v>
      </c>
      <c r="Y51">
        <f t="shared" si="9"/>
        <v>1</v>
      </c>
      <c r="Z51">
        <f t="shared" si="10"/>
        <v>0</v>
      </c>
      <c r="AA51">
        <f t="shared" si="11"/>
        <v>0</v>
      </c>
      <c r="AB51">
        <f t="shared" si="12"/>
        <v>0</v>
      </c>
      <c r="AC51">
        <f t="shared" si="13"/>
        <v>0</v>
      </c>
      <c r="AD51">
        <f t="shared" si="14"/>
        <v>0</v>
      </c>
      <c r="AE51">
        <f t="shared" si="15"/>
        <v>0</v>
      </c>
      <c r="AF51">
        <f>IF(ISNUMBER(SEARCH("endocrine", W51)), 1, 0)</f>
        <v>0</v>
      </c>
      <c r="AG51" t="s">
        <v>15</v>
      </c>
      <c r="AH51" t="s">
        <v>10</v>
      </c>
      <c r="AI51" t="s">
        <v>8</v>
      </c>
      <c r="AJ51">
        <f t="shared" si="16"/>
        <v>0</v>
      </c>
      <c r="AK51">
        <f t="shared" si="17"/>
        <v>0</v>
      </c>
      <c r="AL51">
        <f t="shared" si="18"/>
        <v>0</v>
      </c>
      <c r="AM51">
        <f t="shared" si="19"/>
        <v>0</v>
      </c>
      <c r="AN51">
        <f t="shared" si="20"/>
        <v>0</v>
      </c>
      <c r="AO51">
        <f t="shared" si="21"/>
        <v>1</v>
      </c>
      <c r="AP51" t="s">
        <v>8</v>
      </c>
      <c r="AQ51">
        <f t="shared" si="22"/>
        <v>0</v>
      </c>
      <c r="AR51">
        <f t="shared" si="23"/>
        <v>0</v>
      </c>
      <c r="AS51">
        <f t="shared" si="24"/>
        <v>0</v>
      </c>
      <c r="AT51">
        <f t="shared" si="25"/>
        <v>0</v>
      </c>
      <c r="AU51">
        <f t="shared" si="26"/>
        <v>1</v>
      </c>
    </row>
    <row r="52" spans="1:47" x14ac:dyDescent="0.2">
      <c r="A52" t="s">
        <v>80</v>
      </c>
      <c r="B52">
        <v>2021</v>
      </c>
      <c r="C52">
        <v>2014</v>
      </c>
      <c r="D52" t="s">
        <v>264</v>
      </c>
      <c r="E52">
        <v>1</v>
      </c>
      <c r="F52">
        <v>0</v>
      </c>
      <c r="G52">
        <v>0</v>
      </c>
      <c r="H52">
        <v>181</v>
      </c>
      <c r="I52">
        <v>2</v>
      </c>
      <c r="J52">
        <f t="shared" si="0"/>
        <v>1.1049723756906078</v>
      </c>
      <c r="K52">
        <v>144</v>
      </c>
      <c r="L52">
        <v>35</v>
      </c>
      <c r="M52">
        <v>119</v>
      </c>
      <c r="N52" t="s">
        <v>6</v>
      </c>
      <c r="O52">
        <f t="shared" si="1"/>
        <v>0</v>
      </c>
      <c r="P52">
        <f t="shared" si="2"/>
        <v>1</v>
      </c>
      <c r="Q52">
        <f t="shared" si="3"/>
        <v>0</v>
      </c>
      <c r="R52">
        <f t="shared" si="4"/>
        <v>0</v>
      </c>
      <c r="S52">
        <f t="shared" si="5"/>
        <v>0</v>
      </c>
      <c r="T52">
        <f t="shared" si="6"/>
        <v>1</v>
      </c>
      <c r="U52">
        <f t="shared" si="7"/>
        <v>0</v>
      </c>
      <c r="V52">
        <f t="shared" si="8"/>
        <v>0</v>
      </c>
      <c r="W52" t="str">
        <f>VLOOKUP(A52,[2]!Table2[[NCT Number]:[Intervention type]],11,FALSE)</f>
        <v>Targeted therapy</v>
      </c>
      <c r="X52">
        <f t="shared" si="27"/>
        <v>0</v>
      </c>
      <c r="Y52">
        <f t="shared" si="9"/>
        <v>1</v>
      </c>
      <c r="Z52">
        <f t="shared" si="10"/>
        <v>0</v>
      </c>
      <c r="AA52">
        <f t="shared" si="11"/>
        <v>0</v>
      </c>
      <c r="AB52">
        <f t="shared" si="12"/>
        <v>0</v>
      </c>
      <c r="AC52">
        <f t="shared" si="13"/>
        <v>0</v>
      </c>
      <c r="AD52">
        <f t="shared" si="14"/>
        <v>0</v>
      </c>
      <c r="AE52">
        <f t="shared" si="15"/>
        <v>0</v>
      </c>
      <c r="AF52">
        <f>IF(ISNUMBER(SEARCH("endocrine", W52)), 1, 0)</f>
        <v>0</v>
      </c>
      <c r="AG52" t="s">
        <v>9</v>
      </c>
      <c r="AH52" t="s">
        <v>10</v>
      </c>
      <c r="AI52" t="s">
        <v>11</v>
      </c>
      <c r="AJ52">
        <f t="shared" si="16"/>
        <v>0</v>
      </c>
      <c r="AK52">
        <f t="shared" si="17"/>
        <v>1</v>
      </c>
      <c r="AL52">
        <f t="shared" si="18"/>
        <v>0</v>
      </c>
      <c r="AM52">
        <f t="shared" si="19"/>
        <v>0</v>
      </c>
      <c r="AN52">
        <f t="shared" si="20"/>
        <v>0</v>
      </c>
      <c r="AO52">
        <f t="shared" si="21"/>
        <v>0</v>
      </c>
      <c r="AP52" t="s">
        <v>12</v>
      </c>
      <c r="AQ52">
        <f t="shared" si="22"/>
        <v>1</v>
      </c>
      <c r="AR52">
        <f t="shared" si="23"/>
        <v>0</v>
      </c>
      <c r="AS52">
        <f t="shared" si="24"/>
        <v>0</v>
      </c>
      <c r="AT52">
        <f t="shared" si="25"/>
        <v>0</v>
      </c>
      <c r="AU52">
        <f t="shared" si="26"/>
        <v>0</v>
      </c>
    </row>
    <row r="53" spans="1:47" x14ac:dyDescent="0.2">
      <c r="A53" t="s">
        <v>81</v>
      </c>
      <c r="B53">
        <v>2020</v>
      </c>
      <c r="C53">
        <v>2015</v>
      </c>
      <c r="D53" t="s">
        <v>264</v>
      </c>
      <c r="E53">
        <v>1</v>
      </c>
      <c r="F53">
        <v>0</v>
      </c>
      <c r="G53">
        <v>0</v>
      </c>
      <c r="H53">
        <v>182</v>
      </c>
      <c r="I53">
        <v>0</v>
      </c>
      <c r="J53">
        <f t="shared" si="0"/>
        <v>0</v>
      </c>
      <c r="K53">
        <v>0</v>
      </c>
      <c r="L53">
        <v>182</v>
      </c>
      <c r="M53">
        <v>103</v>
      </c>
      <c r="N53" t="s">
        <v>21</v>
      </c>
      <c r="O53">
        <f t="shared" si="1"/>
        <v>0</v>
      </c>
      <c r="P53">
        <f t="shared" si="2"/>
        <v>0</v>
      </c>
      <c r="Q53">
        <f t="shared" si="3"/>
        <v>0</v>
      </c>
      <c r="R53">
        <f t="shared" si="4"/>
        <v>0</v>
      </c>
      <c r="S53">
        <f t="shared" si="5"/>
        <v>0</v>
      </c>
      <c r="T53">
        <f t="shared" si="6"/>
        <v>0</v>
      </c>
      <c r="U53">
        <f t="shared" si="7"/>
        <v>0</v>
      </c>
      <c r="V53">
        <f t="shared" si="8"/>
        <v>1</v>
      </c>
      <c r="W53" t="str">
        <f>VLOOKUP(A53,[2]!Table2[[NCT Number]:[Intervention type]],11,FALSE)</f>
        <v>immunotherapy</v>
      </c>
      <c r="X53">
        <f t="shared" si="27"/>
        <v>1</v>
      </c>
      <c r="Y53">
        <f t="shared" si="9"/>
        <v>0</v>
      </c>
      <c r="Z53">
        <f t="shared" si="10"/>
        <v>0</v>
      </c>
      <c r="AA53">
        <f t="shared" si="11"/>
        <v>0</v>
      </c>
      <c r="AB53">
        <f t="shared" si="12"/>
        <v>0</v>
      </c>
      <c r="AC53">
        <f t="shared" si="13"/>
        <v>0</v>
      </c>
      <c r="AD53">
        <f t="shared" si="14"/>
        <v>0</v>
      </c>
      <c r="AE53">
        <f t="shared" si="15"/>
        <v>0</v>
      </c>
      <c r="AF53">
        <f>IF(ISNUMBER(SEARCH("endocrine", W53)), 1, 0)</f>
        <v>0</v>
      </c>
      <c r="AG53" t="s">
        <v>15</v>
      </c>
      <c r="AH53" t="s">
        <v>10</v>
      </c>
      <c r="AI53" t="s">
        <v>263</v>
      </c>
      <c r="AJ53">
        <f t="shared" si="16"/>
        <v>0</v>
      </c>
      <c r="AK53">
        <f t="shared" si="17"/>
        <v>0</v>
      </c>
      <c r="AL53">
        <f t="shared" si="18"/>
        <v>0</v>
      </c>
      <c r="AM53">
        <f t="shared" si="19"/>
        <v>0</v>
      </c>
      <c r="AN53">
        <f t="shared" si="20"/>
        <v>1</v>
      </c>
      <c r="AO53">
        <f t="shared" si="21"/>
        <v>0</v>
      </c>
      <c r="AP53" t="s">
        <v>12</v>
      </c>
      <c r="AQ53">
        <f t="shared" si="22"/>
        <v>1</v>
      </c>
      <c r="AR53">
        <f t="shared" si="23"/>
        <v>0</v>
      </c>
      <c r="AS53">
        <f t="shared" si="24"/>
        <v>0</v>
      </c>
      <c r="AT53">
        <f t="shared" si="25"/>
        <v>0</v>
      </c>
      <c r="AU53">
        <f t="shared" si="26"/>
        <v>0</v>
      </c>
    </row>
    <row r="54" spans="1:47" x14ac:dyDescent="0.2">
      <c r="A54" t="s">
        <v>82</v>
      </c>
      <c r="B54">
        <v>2021</v>
      </c>
      <c r="C54">
        <v>2017</v>
      </c>
      <c r="D54" t="s">
        <v>265</v>
      </c>
      <c r="E54">
        <v>0</v>
      </c>
      <c r="F54">
        <v>1</v>
      </c>
      <c r="G54">
        <v>0</v>
      </c>
      <c r="H54">
        <v>187</v>
      </c>
      <c r="I54">
        <v>2</v>
      </c>
      <c r="J54">
        <f t="shared" si="0"/>
        <v>1.0695187165775402</v>
      </c>
      <c r="K54">
        <v>106</v>
      </c>
      <c r="L54">
        <v>79</v>
      </c>
      <c r="M54">
        <v>68</v>
      </c>
      <c r="N54" t="s">
        <v>56</v>
      </c>
      <c r="O54">
        <f t="shared" si="1"/>
        <v>0</v>
      </c>
      <c r="P54">
        <f t="shared" si="2"/>
        <v>1</v>
      </c>
      <c r="Q54">
        <f t="shared" si="3"/>
        <v>0</v>
      </c>
      <c r="R54">
        <f t="shared" si="4"/>
        <v>0</v>
      </c>
      <c r="S54">
        <f t="shared" si="5"/>
        <v>0</v>
      </c>
      <c r="T54">
        <f t="shared" si="6"/>
        <v>0</v>
      </c>
      <c r="U54">
        <f t="shared" si="7"/>
        <v>0</v>
      </c>
      <c r="V54">
        <f t="shared" si="8"/>
        <v>0</v>
      </c>
      <c r="W54" t="str">
        <f>VLOOKUP(A54,[2]!Table2[[NCT Number]:[Intervention type]],11,FALSE)</f>
        <v>Targeted therapy</v>
      </c>
      <c r="X54">
        <f t="shared" si="27"/>
        <v>0</v>
      </c>
      <c r="Y54">
        <f t="shared" si="9"/>
        <v>1</v>
      </c>
      <c r="Z54">
        <f t="shared" si="10"/>
        <v>0</v>
      </c>
      <c r="AA54">
        <f t="shared" si="11"/>
        <v>0</v>
      </c>
      <c r="AB54">
        <f t="shared" si="12"/>
        <v>0</v>
      </c>
      <c r="AC54">
        <f t="shared" si="13"/>
        <v>0</v>
      </c>
      <c r="AD54">
        <f t="shared" si="14"/>
        <v>0</v>
      </c>
      <c r="AE54">
        <f t="shared" si="15"/>
        <v>0</v>
      </c>
      <c r="AF54">
        <f>IF(ISNUMBER(SEARCH("endocrine", W54)), 1, 0)</f>
        <v>0</v>
      </c>
      <c r="AG54" t="s">
        <v>15</v>
      </c>
      <c r="AH54" t="s">
        <v>10</v>
      </c>
      <c r="AI54" t="s">
        <v>263</v>
      </c>
      <c r="AJ54">
        <f t="shared" si="16"/>
        <v>0</v>
      </c>
      <c r="AK54">
        <f t="shared" si="17"/>
        <v>0</v>
      </c>
      <c r="AL54">
        <f t="shared" si="18"/>
        <v>0</v>
      </c>
      <c r="AM54">
        <f t="shared" si="19"/>
        <v>0</v>
      </c>
      <c r="AN54">
        <f t="shared" si="20"/>
        <v>1</v>
      </c>
      <c r="AO54">
        <f t="shared" si="21"/>
        <v>0</v>
      </c>
      <c r="AP54" t="s">
        <v>12</v>
      </c>
      <c r="AQ54">
        <f t="shared" si="22"/>
        <v>1</v>
      </c>
      <c r="AR54">
        <f t="shared" si="23"/>
        <v>0</v>
      </c>
      <c r="AS54">
        <f t="shared" si="24"/>
        <v>0</v>
      </c>
      <c r="AT54">
        <f t="shared" si="25"/>
        <v>0</v>
      </c>
      <c r="AU54">
        <f t="shared" si="26"/>
        <v>0</v>
      </c>
    </row>
    <row r="55" spans="1:47" x14ac:dyDescent="0.2">
      <c r="A55" t="s">
        <v>83</v>
      </c>
      <c r="B55">
        <v>2022</v>
      </c>
      <c r="C55">
        <v>2020</v>
      </c>
      <c r="D55" t="s">
        <v>266</v>
      </c>
      <c r="E55">
        <v>0</v>
      </c>
      <c r="F55">
        <v>0</v>
      </c>
      <c r="G55">
        <v>1</v>
      </c>
      <c r="H55">
        <v>195</v>
      </c>
      <c r="I55">
        <v>4</v>
      </c>
      <c r="J55">
        <f t="shared" si="0"/>
        <v>2.0512820512820511</v>
      </c>
      <c r="K55">
        <v>157</v>
      </c>
      <c r="L55">
        <v>34</v>
      </c>
      <c r="M55">
        <v>123</v>
      </c>
      <c r="N55" t="s">
        <v>6</v>
      </c>
      <c r="O55">
        <f t="shared" si="1"/>
        <v>0</v>
      </c>
      <c r="P55">
        <f t="shared" si="2"/>
        <v>1</v>
      </c>
      <c r="Q55">
        <f t="shared" si="3"/>
        <v>0</v>
      </c>
      <c r="R55">
        <f t="shared" si="4"/>
        <v>0</v>
      </c>
      <c r="S55">
        <f t="shared" si="5"/>
        <v>0</v>
      </c>
      <c r="T55">
        <f t="shared" si="6"/>
        <v>1</v>
      </c>
      <c r="U55">
        <f t="shared" si="7"/>
        <v>0</v>
      </c>
      <c r="V55">
        <f t="shared" si="8"/>
        <v>0</v>
      </c>
      <c r="W55" t="str">
        <f>VLOOKUP(A55,[2]!Table2[[NCT Number]:[Intervention type]],11,FALSE)</f>
        <v>Targeted therapy</v>
      </c>
      <c r="X55">
        <f t="shared" si="27"/>
        <v>0</v>
      </c>
      <c r="Y55">
        <f t="shared" si="9"/>
        <v>1</v>
      </c>
      <c r="Z55">
        <f t="shared" si="10"/>
        <v>0</v>
      </c>
      <c r="AA55">
        <f t="shared" si="11"/>
        <v>0</v>
      </c>
      <c r="AB55">
        <f t="shared" si="12"/>
        <v>0</v>
      </c>
      <c r="AC55">
        <f t="shared" si="13"/>
        <v>0</v>
      </c>
      <c r="AD55">
        <f t="shared" si="14"/>
        <v>0</v>
      </c>
      <c r="AE55">
        <f t="shared" si="15"/>
        <v>0</v>
      </c>
      <c r="AF55">
        <f>IF(ISNUMBER(SEARCH("endocrine", W55)), 1, 0)</f>
        <v>0</v>
      </c>
      <c r="AG55" t="s">
        <v>15</v>
      </c>
      <c r="AH55" t="s">
        <v>10</v>
      </c>
      <c r="AI55" t="s">
        <v>11</v>
      </c>
      <c r="AJ55">
        <f t="shared" si="16"/>
        <v>0</v>
      </c>
      <c r="AK55">
        <f t="shared" si="17"/>
        <v>1</v>
      </c>
      <c r="AL55">
        <f t="shared" si="18"/>
        <v>0</v>
      </c>
      <c r="AM55">
        <f t="shared" si="19"/>
        <v>0</v>
      </c>
      <c r="AN55">
        <f t="shared" si="20"/>
        <v>0</v>
      </c>
      <c r="AO55">
        <f t="shared" si="21"/>
        <v>0</v>
      </c>
      <c r="AP55" t="s">
        <v>12</v>
      </c>
      <c r="AQ55">
        <f t="shared" si="22"/>
        <v>1</v>
      </c>
      <c r="AR55">
        <f t="shared" si="23"/>
        <v>0</v>
      </c>
      <c r="AS55">
        <f t="shared" si="24"/>
        <v>0</v>
      </c>
      <c r="AT55">
        <f t="shared" si="25"/>
        <v>0</v>
      </c>
      <c r="AU55">
        <f t="shared" si="26"/>
        <v>0</v>
      </c>
    </row>
    <row r="56" spans="1:47" x14ac:dyDescent="0.2">
      <c r="A56" t="s">
        <v>84</v>
      </c>
      <c r="B56">
        <v>2023</v>
      </c>
      <c r="C56">
        <v>2018</v>
      </c>
      <c r="D56" t="s">
        <v>265</v>
      </c>
      <c r="E56">
        <v>0</v>
      </c>
      <c r="F56">
        <v>1</v>
      </c>
      <c r="G56">
        <v>0</v>
      </c>
      <c r="H56">
        <v>195</v>
      </c>
      <c r="I56">
        <v>10</v>
      </c>
      <c r="J56">
        <f t="shared" si="0"/>
        <v>5.1282051282051286</v>
      </c>
      <c r="K56">
        <v>153</v>
      </c>
      <c r="L56">
        <v>32</v>
      </c>
      <c r="M56">
        <v>119</v>
      </c>
      <c r="N56" t="s">
        <v>56</v>
      </c>
      <c r="O56">
        <f t="shared" si="1"/>
        <v>0</v>
      </c>
      <c r="P56">
        <f t="shared" si="2"/>
        <v>1</v>
      </c>
      <c r="Q56">
        <f t="shared" si="3"/>
        <v>0</v>
      </c>
      <c r="R56">
        <f t="shared" si="4"/>
        <v>0</v>
      </c>
      <c r="S56">
        <f t="shared" si="5"/>
        <v>0</v>
      </c>
      <c r="T56">
        <f t="shared" si="6"/>
        <v>0</v>
      </c>
      <c r="U56">
        <f t="shared" si="7"/>
        <v>0</v>
      </c>
      <c r="V56">
        <f t="shared" si="8"/>
        <v>0</v>
      </c>
      <c r="W56" t="str">
        <f>VLOOKUP(A56,[2]!Table2[[NCT Number]:[Intervention type]],11,FALSE)</f>
        <v>immunotherapy</v>
      </c>
      <c r="X56">
        <f t="shared" si="27"/>
        <v>1</v>
      </c>
      <c r="Y56">
        <f t="shared" si="9"/>
        <v>0</v>
      </c>
      <c r="Z56">
        <f t="shared" si="10"/>
        <v>0</v>
      </c>
      <c r="AA56">
        <f t="shared" si="11"/>
        <v>0</v>
      </c>
      <c r="AB56">
        <f t="shared" si="12"/>
        <v>0</v>
      </c>
      <c r="AC56">
        <f t="shared" si="13"/>
        <v>0</v>
      </c>
      <c r="AD56">
        <f t="shared" si="14"/>
        <v>0</v>
      </c>
      <c r="AE56">
        <f t="shared" si="15"/>
        <v>0</v>
      </c>
      <c r="AF56">
        <f>IF(ISNUMBER(SEARCH("endocrine", W56)), 1, 0)</f>
        <v>0</v>
      </c>
      <c r="AG56" t="s">
        <v>15</v>
      </c>
      <c r="AH56" t="s">
        <v>10</v>
      </c>
      <c r="AI56" t="s">
        <v>11</v>
      </c>
      <c r="AJ56">
        <f t="shared" si="16"/>
        <v>0</v>
      </c>
      <c r="AK56">
        <f t="shared" si="17"/>
        <v>1</v>
      </c>
      <c r="AL56">
        <f t="shared" si="18"/>
        <v>0</v>
      </c>
      <c r="AM56">
        <f t="shared" si="19"/>
        <v>0</v>
      </c>
      <c r="AN56">
        <f t="shared" si="20"/>
        <v>0</v>
      </c>
      <c r="AO56">
        <f t="shared" si="21"/>
        <v>0</v>
      </c>
      <c r="AP56" t="s">
        <v>12</v>
      </c>
      <c r="AQ56">
        <f t="shared" si="22"/>
        <v>1</v>
      </c>
      <c r="AR56">
        <f t="shared" si="23"/>
        <v>0</v>
      </c>
      <c r="AS56">
        <f t="shared" si="24"/>
        <v>0</v>
      </c>
      <c r="AT56">
        <f t="shared" si="25"/>
        <v>0</v>
      </c>
      <c r="AU56">
        <f t="shared" si="26"/>
        <v>0</v>
      </c>
    </row>
    <row r="57" spans="1:47" x14ac:dyDescent="0.2">
      <c r="A57" t="s">
        <v>85</v>
      </c>
      <c r="B57">
        <v>2022</v>
      </c>
      <c r="C57">
        <v>2017</v>
      </c>
      <c r="D57" t="s">
        <v>265</v>
      </c>
      <c r="E57">
        <v>0</v>
      </c>
      <c r="F57">
        <v>1</v>
      </c>
      <c r="G57">
        <v>0</v>
      </c>
      <c r="H57">
        <v>201</v>
      </c>
      <c r="I57">
        <v>0</v>
      </c>
      <c r="J57">
        <f t="shared" si="0"/>
        <v>0</v>
      </c>
      <c r="K57">
        <v>182</v>
      </c>
      <c r="L57">
        <v>19</v>
      </c>
      <c r="M57">
        <v>134</v>
      </c>
      <c r="N57" t="s">
        <v>6</v>
      </c>
      <c r="O57">
        <f t="shared" si="1"/>
        <v>0</v>
      </c>
      <c r="P57">
        <f t="shared" si="2"/>
        <v>1</v>
      </c>
      <c r="Q57">
        <f t="shared" si="3"/>
        <v>0</v>
      </c>
      <c r="R57">
        <f t="shared" si="4"/>
        <v>0</v>
      </c>
      <c r="S57">
        <f t="shared" si="5"/>
        <v>0</v>
      </c>
      <c r="T57">
        <f t="shared" si="6"/>
        <v>1</v>
      </c>
      <c r="U57">
        <f t="shared" si="7"/>
        <v>0</v>
      </c>
      <c r="V57">
        <f t="shared" si="8"/>
        <v>0</v>
      </c>
      <c r="W57" t="str">
        <f>VLOOKUP(A57,[2]!Table2[[NCT Number]:[Intervention type]],11,FALSE)</f>
        <v>Targeted therapy</v>
      </c>
      <c r="X57">
        <f t="shared" si="27"/>
        <v>0</v>
      </c>
      <c r="Y57">
        <f t="shared" si="9"/>
        <v>1</v>
      </c>
      <c r="Z57">
        <f t="shared" si="10"/>
        <v>0</v>
      </c>
      <c r="AA57">
        <f t="shared" si="11"/>
        <v>0</v>
      </c>
      <c r="AB57">
        <f t="shared" si="12"/>
        <v>0</v>
      </c>
      <c r="AC57">
        <f t="shared" si="13"/>
        <v>0</v>
      </c>
      <c r="AD57">
        <f t="shared" si="14"/>
        <v>0</v>
      </c>
      <c r="AE57">
        <f t="shared" si="15"/>
        <v>0</v>
      </c>
      <c r="AF57">
        <f>IF(ISNUMBER(SEARCH("endocrine", W57)), 1, 0)</f>
        <v>0</v>
      </c>
      <c r="AG57" t="s">
        <v>15</v>
      </c>
      <c r="AH57" t="s">
        <v>10</v>
      </c>
      <c r="AI57" t="s">
        <v>11</v>
      </c>
      <c r="AJ57">
        <f t="shared" si="16"/>
        <v>0</v>
      </c>
      <c r="AK57">
        <f t="shared" si="17"/>
        <v>1</v>
      </c>
      <c r="AL57">
        <f t="shared" si="18"/>
        <v>0</v>
      </c>
      <c r="AM57">
        <f t="shared" si="19"/>
        <v>0</v>
      </c>
      <c r="AN57">
        <f t="shared" si="20"/>
        <v>0</v>
      </c>
      <c r="AO57">
        <f t="shared" si="21"/>
        <v>0</v>
      </c>
      <c r="AP57" t="s">
        <v>86</v>
      </c>
      <c r="AQ57">
        <f t="shared" si="22"/>
        <v>0</v>
      </c>
      <c r="AR57">
        <f t="shared" si="23"/>
        <v>0</v>
      </c>
      <c r="AS57">
        <f t="shared" si="24"/>
        <v>0</v>
      </c>
      <c r="AT57">
        <f t="shared" si="25"/>
        <v>1</v>
      </c>
      <c r="AU57">
        <f t="shared" si="26"/>
        <v>0</v>
      </c>
    </row>
    <row r="58" spans="1:47" x14ac:dyDescent="0.2">
      <c r="A58" t="s">
        <v>87</v>
      </c>
      <c r="B58">
        <v>2019</v>
      </c>
      <c r="C58">
        <v>2014</v>
      </c>
      <c r="D58" t="s">
        <v>264</v>
      </c>
      <c r="E58">
        <v>1</v>
      </c>
      <c r="F58">
        <v>0</v>
      </c>
      <c r="G58">
        <v>0</v>
      </c>
      <c r="H58">
        <v>202</v>
      </c>
      <c r="I58">
        <v>11</v>
      </c>
      <c r="J58">
        <f t="shared" si="0"/>
        <v>5.4455445544554459</v>
      </c>
      <c r="K58">
        <v>187</v>
      </c>
      <c r="L58">
        <v>4</v>
      </c>
      <c r="M58">
        <v>130</v>
      </c>
      <c r="N58" t="s">
        <v>18</v>
      </c>
      <c r="O58">
        <f t="shared" si="1"/>
        <v>0</v>
      </c>
      <c r="P58">
        <f t="shared" si="2"/>
        <v>0</v>
      </c>
      <c r="Q58">
        <f t="shared" si="3"/>
        <v>0</v>
      </c>
      <c r="R58">
        <f t="shared" si="4"/>
        <v>0</v>
      </c>
      <c r="S58">
        <f t="shared" si="5"/>
        <v>0</v>
      </c>
      <c r="T58">
        <f t="shared" si="6"/>
        <v>0</v>
      </c>
      <c r="U58">
        <f t="shared" si="7"/>
        <v>1</v>
      </c>
      <c r="V58">
        <f t="shared" si="8"/>
        <v>0</v>
      </c>
      <c r="W58" t="str">
        <f>VLOOKUP(A58,[2]!Table2[[NCT Number]:[Intervention type]],11,FALSE)</f>
        <v>chemotherapy</v>
      </c>
      <c r="X58">
        <f t="shared" si="27"/>
        <v>0</v>
      </c>
      <c r="Y58">
        <f t="shared" si="9"/>
        <v>0</v>
      </c>
      <c r="Z58">
        <f t="shared" si="10"/>
        <v>1</v>
      </c>
      <c r="AA58">
        <f t="shared" si="11"/>
        <v>0</v>
      </c>
      <c r="AB58">
        <f t="shared" si="12"/>
        <v>0</v>
      </c>
      <c r="AC58">
        <f t="shared" si="13"/>
        <v>0</v>
      </c>
      <c r="AD58">
        <f t="shared" si="14"/>
        <v>0</v>
      </c>
      <c r="AE58">
        <f t="shared" si="15"/>
        <v>0</v>
      </c>
      <c r="AF58">
        <f>IF(ISNUMBER(SEARCH("endocrine", W58)), 1, 0)</f>
        <v>0</v>
      </c>
      <c r="AG58" t="s">
        <v>15</v>
      </c>
      <c r="AH58" t="s">
        <v>10</v>
      </c>
      <c r="AI58" t="s">
        <v>42</v>
      </c>
      <c r="AJ58">
        <f t="shared" si="16"/>
        <v>0</v>
      </c>
      <c r="AK58">
        <f t="shared" si="17"/>
        <v>0</v>
      </c>
      <c r="AL58">
        <f t="shared" si="18"/>
        <v>1</v>
      </c>
      <c r="AM58">
        <f t="shared" si="19"/>
        <v>0</v>
      </c>
      <c r="AN58">
        <f t="shared" si="20"/>
        <v>0</v>
      </c>
      <c r="AO58">
        <f t="shared" si="21"/>
        <v>0</v>
      </c>
      <c r="AP58" t="s">
        <v>8</v>
      </c>
      <c r="AQ58">
        <f t="shared" si="22"/>
        <v>0</v>
      </c>
      <c r="AR58">
        <f t="shared" si="23"/>
        <v>0</v>
      </c>
      <c r="AS58">
        <f t="shared" si="24"/>
        <v>0</v>
      </c>
      <c r="AT58">
        <f t="shared" si="25"/>
        <v>0</v>
      </c>
      <c r="AU58">
        <f t="shared" si="26"/>
        <v>1</v>
      </c>
    </row>
    <row r="59" spans="1:47" x14ac:dyDescent="0.2">
      <c r="A59" t="s">
        <v>88</v>
      </c>
      <c r="B59">
        <v>2019</v>
      </c>
      <c r="C59">
        <v>2015</v>
      </c>
      <c r="D59" t="s">
        <v>264</v>
      </c>
      <c r="E59">
        <v>1</v>
      </c>
      <c r="F59">
        <v>0</v>
      </c>
      <c r="G59">
        <v>0</v>
      </c>
      <c r="H59">
        <v>202</v>
      </c>
      <c r="I59" t="s">
        <v>8</v>
      </c>
      <c r="J59" t="s">
        <v>8</v>
      </c>
      <c r="K59" t="s">
        <v>8</v>
      </c>
      <c r="L59" t="s">
        <v>8</v>
      </c>
      <c r="M59">
        <v>105</v>
      </c>
      <c r="N59" t="s">
        <v>56</v>
      </c>
      <c r="O59">
        <f t="shared" si="1"/>
        <v>0</v>
      </c>
      <c r="P59">
        <f t="shared" si="2"/>
        <v>1</v>
      </c>
      <c r="Q59">
        <f t="shared" si="3"/>
        <v>0</v>
      </c>
      <c r="R59">
        <f t="shared" si="4"/>
        <v>0</v>
      </c>
      <c r="S59">
        <f t="shared" si="5"/>
        <v>0</v>
      </c>
      <c r="T59">
        <f t="shared" si="6"/>
        <v>0</v>
      </c>
      <c r="U59">
        <f t="shared" si="7"/>
        <v>0</v>
      </c>
      <c r="V59">
        <f t="shared" si="8"/>
        <v>0</v>
      </c>
      <c r="W59" t="str">
        <f>VLOOKUP(A59,[2]!Table2[[NCT Number]:[Intervention type]],11,FALSE)</f>
        <v>chemotherapy</v>
      </c>
      <c r="X59">
        <f t="shared" si="27"/>
        <v>0</v>
      </c>
      <c r="Y59">
        <f t="shared" si="9"/>
        <v>0</v>
      </c>
      <c r="Z59">
        <f t="shared" si="10"/>
        <v>1</v>
      </c>
      <c r="AA59">
        <f t="shared" si="11"/>
        <v>0</v>
      </c>
      <c r="AB59">
        <f t="shared" si="12"/>
        <v>0</v>
      </c>
      <c r="AC59">
        <f t="shared" si="13"/>
        <v>0</v>
      </c>
      <c r="AD59">
        <f t="shared" si="14"/>
        <v>0</v>
      </c>
      <c r="AE59">
        <f t="shared" si="15"/>
        <v>0</v>
      </c>
      <c r="AF59">
        <f>IF(ISNUMBER(SEARCH("endocrine", W59)), 1, 0)</f>
        <v>0</v>
      </c>
      <c r="AG59" t="s">
        <v>15</v>
      </c>
      <c r="AH59" t="s">
        <v>16</v>
      </c>
      <c r="AI59" t="s">
        <v>11</v>
      </c>
      <c r="AJ59">
        <f t="shared" si="16"/>
        <v>0</v>
      </c>
      <c r="AK59">
        <f t="shared" si="17"/>
        <v>1</v>
      </c>
      <c r="AL59">
        <f t="shared" si="18"/>
        <v>0</v>
      </c>
      <c r="AM59">
        <f t="shared" si="19"/>
        <v>0</v>
      </c>
      <c r="AN59">
        <f t="shared" si="20"/>
        <v>0</v>
      </c>
      <c r="AO59">
        <f t="shared" si="21"/>
        <v>0</v>
      </c>
      <c r="AP59" t="s">
        <v>8</v>
      </c>
      <c r="AQ59">
        <f t="shared" si="22"/>
        <v>0</v>
      </c>
      <c r="AR59">
        <f t="shared" si="23"/>
        <v>0</v>
      </c>
      <c r="AS59">
        <f t="shared" si="24"/>
        <v>0</v>
      </c>
      <c r="AT59">
        <f t="shared" si="25"/>
        <v>0</v>
      </c>
      <c r="AU59">
        <f t="shared" si="26"/>
        <v>1</v>
      </c>
    </row>
    <row r="60" spans="1:47" x14ac:dyDescent="0.2">
      <c r="A60" t="s">
        <v>89</v>
      </c>
      <c r="B60">
        <v>2018</v>
      </c>
      <c r="C60">
        <v>2014</v>
      </c>
      <c r="D60" t="s">
        <v>264</v>
      </c>
      <c r="E60">
        <v>1</v>
      </c>
      <c r="F60">
        <v>0</v>
      </c>
      <c r="G60">
        <v>0</v>
      </c>
      <c r="H60">
        <v>204</v>
      </c>
      <c r="I60" t="s">
        <v>8</v>
      </c>
      <c r="J60" t="s">
        <v>8</v>
      </c>
      <c r="K60" t="s">
        <v>8</v>
      </c>
      <c r="L60" t="s">
        <v>8</v>
      </c>
      <c r="M60">
        <v>180</v>
      </c>
      <c r="N60" t="s">
        <v>18</v>
      </c>
      <c r="O60">
        <f t="shared" si="1"/>
        <v>0</v>
      </c>
      <c r="P60">
        <f t="shared" si="2"/>
        <v>0</v>
      </c>
      <c r="Q60">
        <f t="shared" si="3"/>
        <v>0</v>
      </c>
      <c r="R60">
        <f t="shared" si="4"/>
        <v>0</v>
      </c>
      <c r="S60">
        <f t="shared" si="5"/>
        <v>0</v>
      </c>
      <c r="T60">
        <f t="shared" si="6"/>
        <v>0</v>
      </c>
      <c r="U60">
        <f t="shared" si="7"/>
        <v>1</v>
      </c>
      <c r="V60">
        <f t="shared" si="8"/>
        <v>0</v>
      </c>
      <c r="W60" t="str">
        <f>VLOOKUP(A60,[2]!Table2[[NCT Number]:[Intervention type]],11,FALSE)</f>
        <v>immunotherapy+chemo</v>
      </c>
      <c r="X60">
        <f t="shared" si="27"/>
        <v>1</v>
      </c>
      <c r="Y60">
        <f t="shared" si="9"/>
        <v>0</v>
      </c>
      <c r="Z60">
        <f t="shared" si="10"/>
        <v>0</v>
      </c>
      <c r="AA60">
        <f t="shared" si="11"/>
        <v>0</v>
      </c>
      <c r="AB60">
        <f t="shared" si="12"/>
        <v>0</v>
      </c>
      <c r="AC60">
        <f t="shared" si="13"/>
        <v>0</v>
      </c>
      <c r="AD60">
        <f t="shared" si="14"/>
        <v>0</v>
      </c>
      <c r="AE60">
        <f t="shared" si="15"/>
        <v>1</v>
      </c>
      <c r="AF60">
        <f>IF(ISNUMBER(SEARCH("endocrine", W60)), 1, 0)</f>
        <v>0</v>
      </c>
      <c r="AG60" t="s">
        <v>9</v>
      </c>
      <c r="AH60" t="s">
        <v>10</v>
      </c>
      <c r="AI60" t="s">
        <v>263</v>
      </c>
      <c r="AJ60">
        <f t="shared" si="16"/>
        <v>0</v>
      </c>
      <c r="AK60">
        <f t="shared" si="17"/>
        <v>0</v>
      </c>
      <c r="AL60">
        <f t="shared" si="18"/>
        <v>0</v>
      </c>
      <c r="AM60">
        <f t="shared" si="19"/>
        <v>0</v>
      </c>
      <c r="AN60">
        <f t="shared" si="20"/>
        <v>1</v>
      </c>
      <c r="AO60">
        <f t="shared" si="21"/>
        <v>0</v>
      </c>
      <c r="AP60" t="s">
        <v>12</v>
      </c>
      <c r="AQ60">
        <f t="shared" si="22"/>
        <v>1</v>
      </c>
      <c r="AR60">
        <f t="shared" si="23"/>
        <v>0</v>
      </c>
      <c r="AS60">
        <f t="shared" si="24"/>
        <v>0</v>
      </c>
      <c r="AT60">
        <f t="shared" si="25"/>
        <v>0</v>
      </c>
      <c r="AU60">
        <f t="shared" si="26"/>
        <v>0</v>
      </c>
    </row>
    <row r="61" spans="1:47" x14ac:dyDescent="0.2">
      <c r="A61" t="s">
        <v>90</v>
      </c>
      <c r="B61">
        <v>2023</v>
      </c>
      <c r="C61">
        <v>2016</v>
      </c>
      <c r="D61" t="s">
        <v>265</v>
      </c>
      <c r="E61">
        <v>0</v>
      </c>
      <c r="F61">
        <v>1</v>
      </c>
      <c r="G61">
        <v>0</v>
      </c>
      <c r="H61">
        <v>210</v>
      </c>
      <c r="I61">
        <v>1</v>
      </c>
      <c r="J61">
        <f t="shared" si="0"/>
        <v>0.47619047619047616</v>
      </c>
      <c r="K61">
        <v>182</v>
      </c>
      <c r="L61">
        <v>27</v>
      </c>
      <c r="M61">
        <v>141</v>
      </c>
      <c r="N61" t="s">
        <v>6</v>
      </c>
      <c r="O61">
        <f t="shared" si="1"/>
        <v>0</v>
      </c>
      <c r="P61">
        <f t="shared" si="2"/>
        <v>1</v>
      </c>
      <c r="Q61">
        <f t="shared" si="3"/>
        <v>0</v>
      </c>
      <c r="R61">
        <f t="shared" si="4"/>
        <v>0</v>
      </c>
      <c r="S61">
        <f t="shared" si="5"/>
        <v>0</v>
      </c>
      <c r="T61">
        <f t="shared" si="6"/>
        <v>1</v>
      </c>
      <c r="U61">
        <f t="shared" si="7"/>
        <v>0</v>
      </c>
      <c r="V61">
        <f t="shared" si="8"/>
        <v>0</v>
      </c>
      <c r="W61" t="str">
        <f>VLOOKUP(A61,[2]!Table2[[NCT Number]:[Intervention type]],11,FALSE)</f>
        <v>Targeted therapy</v>
      </c>
      <c r="X61">
        <f t="shared" si="27"/>
        <v>0</v>
      </c>
      <c r="Y61">
        <f t="shared" si="9"/>
        <v>1</v>
      </c>
      <c r="Z61">
        <f t="shared" si="10"/>
        <v>0</v>
      </c>
      <c r="AA61">
        <f t="shared" si="11"/>
        <v>0</v>
      </c>
      <c r="AB61">
        <f t="shared" si="12"/>
        <v>0</v>
      </c>
      <c r="AC61">
        <f t="shared" si="13"/>
        <v>0</v>
      </c>
      <c r="AD61">
        <f t="shared" si="14"/>
        <v>0</v>
      </c>
      <c r="AE61">
        <f t="shared" si="15"/>
        <v>0</v>
      </c>
      <c r="AF61">
        <f>IF(ISNUMBER(SEARCH("endocrine", W61)), 1, 0)</f>
        <v>0</v>
      </c>
      <c r="AG61" t="s">
        <v>15</v>
      </c>
      <c r="AH61" t="s">
        <v>10</v>
      </c>
      <c r="AI61" t="s">
        <v>263</v>
      </c>
      <c r="AJ61">
        <f t="shared" si="16"/>
        <v>0</v>
      </c>
      <c r="AK61">
        <f t="shared" si="17"/>
        <v>0</v>
      </c>
      <c r="AL61">
        <f t="shared" si="18"/>
        <v>0</v>
      </c>
      <c r="AM61">
        <f t="shared" si="19"/>
        <v>0</v>
      </c>
      <c r="AN61">
        <f t="shared" si="20"/>
        <v>1</v>
      </c>
      <c r="AO61">
        <f t="shared" si="21"/>
        <v>0</v>
      </c>
      <c r="AP61" t="s">
        <v>12</v>
      </c>
      <c r="AQ61">
        <f t="shared" si="22"/>
        <v>1</v>
      </c>
      <c r="AR61">
        <f t="shared" si="23"/>
        <v>0</v>
      </c>
      <c r="AS61">
        <f t="shared" si="24"/>
        <v>0</v>
      </c>
      <c r="AT61">
        <f t="shared" si="25"/>
        <v>0</v>
      </c>
      <c r="AU61">
        <f t="shared" si="26"/>
        <v>0</v>
      </c>
    </row>
    <row r="62" spans="1:47" x14ac:dyDescent="0.2">
      <c r="A62" t="s">
        <v>91</v>
      </c>
      <c r="B62">
        <v>2021</v>
      </c>
      <c r="C62">
        <v>2018</v>
      </c>
      <c r="D62" t="s">
        <v>265</v>
      </c>
      <c r="E62">
        <v>0</v>
      </c>
      <c r="F62">
        <v>1</v>
      </c>
      <c r="G62">
        <v>0</v>
      </c>
      <c r="H62">
        <v>218</v>
      </c>
      <c r="I62">
        <v>4</v>
      </c>
      <c r="J62">
        <f t="shared" si="0"/>
        <v>1.834862385321101</v>
      </c>
      <c r="K62">
        <v>115</v>
      </c>
      <c r="L62">
        <v>99</v>
      </c>
      <c r="M62">
        <v>130</v>
      </c>
      <c r="N62" t="s">
        <v>56</v>
      </c>
      <c r="O62">
        <f t="shared" si="1"/>
        <v>0</v>
      </c>
      <c r="P62">
        <f t="shared" si="2"/>
        <v>1</v>
      </c>
      <c r="Q62">
        <f t="shared" si="3"/>
        <v>0</v>
      </c>
      <c r="R62">
        <f t="shared" si="4"/>
        <v>0</v>
      </c>
      <c r="S62">
        <f t="shared" si="5"/>
        <v>0</v>
      </c>
      <c r="T62">
        <f t="shared" si="6"/>
        <v>0</v>
      </c>
      <c r="U62">
        <f t="shared" si="7"/>
        <v>0</v>
      </c>
      <c r="V62">
        <f t="shared" si="8"/>
        <v>0</v>
      </c>
      <c r="W62" t="str">
        <f>VLOOKUP(A62,[2]!Table2[[NCT Number]:[Intervention type]],11,FALSE)</f>
        <v>chemotherapy</v>
      </c>
      <c r="X62">
        <f t="shared" si="27"/>
        <v>0</v>
      </c>
      <c r="Y62">
        <f t="shared" si="9"/>
        <v>0</v>
      </c>
      <c r="Z62">
        <f t="shared" si="10"/>
        <v>1</v>
      </c>
      <c r="AA62">
        <f t="shared" si="11"/>
        <v>0</v>
      </c>
      <c r="AB62">
        <f t="shared" si="12"/>
        <v>0</v>
      </c>
      <c r="AC62">
        <f t="shared" si="13"/>
        <v>0</v>
      </c>
      <c r="AD62">
        <f t="shared" si="14"/>
        <v>0</v>
      </c>
      <c r="AE62">
        <f t="shared" si="15"/>
        <v>0</v>
      </c>
      <c r="AF62">
        <f>IF(ISNUMBER(SEARCH("endocrine", W62)), 1, 0)</f>
        <v>0</v>
      </c>
      <c r="AG62" t="s">
        <v>9</v>
      </c>
      <c r="AH62" t="s">
        <v>10</v>
      </c>
      <c r="AI62" t="s">
        <v>26</v>
      </c>
      <c r="AJ62">
        <f t="shared" si="16"/>
        <v>1</v>
      </c>
      <c r="AK62">
        <f t="shared" si="17"/>
        <v>0</v>
      </c>
      <c r="AL62">
        <f t="shared" si="18"/>
        <v>0</v>
      </c>
      <c r="AM62">
        <f t="shared" si="19"/>
        <v>0</v>
      </c>
      <c r="AN62">
        <f t="shared" si="20"/>
        <v>0</v>
      </c>
      <c r="AO62">
        <f t="shared" si="21"/>
        <v>0</v>
      </c>
      <c r="AP62" t="s">
        <v>8</v>
      </c>
      <c r="AQ62">
        <f t="shared" si="22"/>
        <v>0</v>
      </c>
      <c r="AR62">
        <f t="shared" si="23"/>
        <v>0</v>
      </c>
      <c r="AS62">
        <f t="shared" si="24"/>
        <v>0</v>
      </c>
      <c r="AT62">
        <f t="shared" si="25"/>
        <v>0</v>
      </c>
      <c r="AU62">
        <f t="shared" si="26"/>
        <v>1</v>
      </c>
    </row>
    <row r="63" spans="1:47" x14ac:dyDescent="0.2">
      <c r="A63" t="s">
        <v>92</v>
      </c>
      <c r="B63">
        <v>2022</v>
      </c>
      <c r="C63">
        <v>2017</v>
      </c>
      <c r="D63" t="s">
        <v>265</v>
      </c>
      <c r="E63">
        <v>0</v>
      </c>
      <c r="F63">
        <v>1</v>
      </c>
      <c r="G63">
        <v>0</v>
      </c>
      <c r="H63">
        <v>220</v>
      </c>
      <c r="I63">
        <v>1</v>
      </c>
      <c r="J63">
        <f t="shared" si="0"/>
        <v>0.45454545454545453</v>
      </c>
      <c r="K63">
        <v>205</v>
      </c>
      <c r="L63">
        <v>14</v>
      </c>
      <c r="M63">
        <v>0</v>
      </c>
      <c r="N63" t="s">
        <v>44</v>
      </c>
      <c r="O63">
        <f t="shared" si="1"/>
        <v>0</v>
      </c>
      <c r="P63">
        <f t="shared" si="2"/>
        <v>1</v>
      </c>
      <c r="Q63">
        <f t="shared" si="3"/>
        <v>0</v>
      </c>
      <c r="R63">
        <f t="shared" si="4"/>
        <v>1</v>
      </c>
      <c r="S63">
        <f t="shared" si="5"/>
        <v>0</v>
      </c>
      <c r="T63">
        <f t="shared" si="6"/>
        <v>0</v>
      </c>
      <c r="U63">
        <f t="shared" si="7"/>
        <v>0</v>
      </c>
      <c r="V63">
        <f t="shared" si="8"/>
        <v>0</v>
      </c>
      <c r="W63" t="str">
        <f>VLOOKUP(A63,[2]!Table2[[NCT Number]:[Intervention type]],11,FALSE)</f>
        <v>Targeted therapy</v>
      </c>
      <c r="X63">
        <f t="shared" si="27"/>
        <v>0</v>
      </c>
      <c r="Y63">
        <f t="shared" si="9"/>
        <v>1</v>
      </c>
      <c r="Z63">
        <f t="shared" si="10"/>
        <v>0</v>
      </c>
      <c r="AA63">
        <f t="shared" si="11"/>
        <v>0</v>
      </c>
      <c r="AB63">
        <f t="shared" si="12"/>
        <v>0</v>
      </c>
      <c r="AC63">
        <f t="shared" si="13"/>
        <v>0</v>
      </c>
      <c r="AD63">
        <f t="shared" si="14"/>
        <v>0</v>
      </c>
      <c r="AE63">
        <f t="shared" si="15"/>
        <v>0</v>
      </c>
      <c r="AF63">
        <f>IF(ISNUMBER(SEARCH("endocrine", W63)), 1, 0)</f>
        <v>0</v>
      </c>
      <c r="AG63" t="s">
        <v>15</v>
      </c>
      <c r="AH63" t="s">
        <v>10</v>
      </c>
      <c r="AI63" t="s">
        <v>11</v>
      </c>
      <c r="AJ63">
        <f t="shared" si="16"/>
        <v>0</v>
      </c>
      <c r="AK63">
        <f t="shared" si="17"/>
        <v>1</v>
      </c>
      <c r="AL63">
        <f t="shared" si="18"/>
        <v>0</v>
      </c>
      <c r="AM63">
        <f t="shared" si="19"/>
        <v>0</v>
      </c>
      <c r="AN63">
        <f t="shared" si="20"/>
        <v>0</v>
      </c>
      <c r="AO63">
        <f t="shared" si="21"/>
        <v>0</v>
      </c>
      <c r="AP63" t="s">
        <v>12</v>
      </c>
      <c r="AQ63">
        <f t="shared" si="22"/>
        <v>1</v>
      </c>
      <c r="AR63">
        <f t="shared" si="23"/>
        <v>0</v>
      </c>
      <c r="AS63">
        <f t="shared" si="24"/>
        <v>0</v>
      </c>
      <c r="AT63">
        <f t="shared" si="25"/>
        <v>0</v>
      </c>
      <c r="AU63">
        <f t="shared" si="26"/>
        <v>0</v>
      </c>
    </row>
    <row r="64" spans="1:47" x14ac:dyDescent="0.2">
      <c r="A64" t="s">
        <v>93</v>
      </c>
      <c r="B64">
        <v>2023</v>
      </c>
      <c r="C64">
        <v>2017</v>
      </c>
      <c r="D64" t="s">
        <v>265</v>
      </c>
      <c r="E64">
        <v>0</v>
      </c>
      <c r="F64">
        <v>1</v>
      </c>
      <c r="G64">
        <v>0</v>
      </c>
      <c r="H64">
        <v>221</v>
      </c>
      <c r="I64">
        <v>2</v>
      </c>
      <c r="J64">
        <f t="shared" si="0"/>
        <v>0.90497737556561086</v>
      </c>
      <c r="K64">
        <v>133</v>
      </c>
      <c r="L64">
        <v>86</v>
      </c>
      <c r="M64">
        <v>136</v>
      </c>
      <c r="N64" t="s">
        <v>35</v>
      </c>
      <c r="O64">
        <f t="shared" si="1"/>
        <v>0</v>
      </c>
      <c r="P64">
        <f t="shared" si="2"/>
        <v>0</v>
      </c>
      <c r="Q64">
        <f t="shared" si="3"/>
        <v>0</v>
      </c>
      <c r="R64">
        <f t="shared" si="4"/>
        <v>0</v>
      </c>
      <c r="S64">
        <f t="shared" si="5"/>
        <v>1</v>
      </c>
      <c r="T64">
        <f t="shared" si="6"/>
        <v>0</v>
      </c>
      <c r="U64">
        <f t="shared" si="7"/>
        <v>0</v>
      </c>
      <c r="V64">
        <f t="shared" si="8"/>
        <v>0</v>
      </c>
      <c r="W64" t="str">
        <f>VLOOKUP(A64,[2]!Table2[[NCT Number]:[Intervention type]],11,FALSE)</f>
        <v>immunotherapy+targeted therapy</v>
      </c>
      <c r="X64">
        <f t="shared" si="27"/>
        <v>1</v>
      </c>
      <c r="Y64">
        <f t="shared" si="9"/>
        <v>1</v>
      </c>
      <c r="Z64">
        <f t="shared" si="10"/>
        <v>0</v>
      </c>
      <c r="AA64">
        <f t="shared" si="11"/>
        <v>0</v>
      </c>
      <c r="AB64">
        <f t="shared" si="12"/>
        <v>0</v>
      </c>
      <c r="AC64">
        <f t="shared" si="13"/>
        <v>1</v>
      </c>
      <c r="AD64">
        <f t="shared" si="14"/>
        <v>0</v>
      </c>
      <c r="AE64">
        <f t="shared" si="15"/>
        <v>0</v>
      </c>
      <c r="AF64">
        <f>IF(ISNUMBER(SEARCH("endocrine", W64)), 1, 0)</f>
        <v>0</v>
      </c>
      <c r="AG64" t="s">
        <v>9</v>
      </c>
      <c r="AH64" t="s">
        <v>10</v>
      </c>
      <c r="AI64" t="s">
        <v>42</v>
      </c>
      <c r="AJ64">
        <f t="shared" si="16"/>
        <v>0</v>
      </c>
      <c r="AK64">
        <f t="shared" si="17"/>
        <v>0</v>
      </c>
      <c r="AL64">
        <f t="shared" si="18"/>
        <v>1</v>
      </c>
      <c r="AM64">
        <f t="shared" si="19"/>
        <v>0</v>
      </c>
      <c r="AN64">
        <f t="shared" si="20"/>
        <v>0</v>
      </c>
      <c r="AO64">
        <f t="shared" si="21"/>
        <v>0</v>
      </c>
      <c r="AP64" t="s">
        <v>8</v>
      </c>
      <c r="AQ64">
        <f t="shared" si="22"/>
        <v>0</v>
      </c>
      <c r="AR64">
        <f t="shared" si="23"/>
        <v>0</v>
      </c>
      <c r="AS64">
        <f t="shared" si="24"/>
        <v>0</v>
      </c>
      <c r="AT64">
        <f t="shared" si="25"/>
        <v>0</v>
      </c>
      <c r="AU64">
        <f t="shared" si="26"/>
        <v>1</v>
      </c>
    </row>
    <row r="65" spans="1:47" x14ac:dyDescent="0.2">
      <c r="A65" t="s">
        <v>94</v>
      </c>
      <c r="B65">
        <v>2019</v>
      </c>
      <c r="C65">
        <v>2014</v>
      </c>
      <c r="D65" t="s">
        <v>264</v>
      </c>
      <c r="E65">
        <v>1</v>
      </c>
      <c r="F65">
        <v>0</v>
      </c>
      <c r="G65">
        <v>0</v>
      </c>
      <c r="H65">
        <v>229</v>
      </c>
      <c r="I65">
        <v>2</v>
      </c>
      <c r="J65">
        <f t="shared" si="0"/>
        <v>0.8733624454148472</v>
      </c>
      <c r="K65">
        <v>220</v>
      </c>
      <c r="L65">
        <v>7</v>
      </c>
      <c r="M65">
        <v>146</v>
      </c>
      <c r="N65" t="s">
        <v>6</v>
      </c>
      <c r="O65">
        <f t="shared" si="1"/>
        <v>0</v>
      </c>
      <c r="P65">
        <f t="shared" si="2"/>
        <v>1</v>
      </c>
      <c r="Q65">
        <f t="shared" si="3"/>
        <v>0</v>
      </c>
      <c r="R65">
        <f t="shared" si="4"/>
        <v>0</v>
      </c>
      <c r="S65">
        <f t="shared" si="5"/>
        <v>0</v>
      </c>
      <c r="T65">
        <f t="shared" si="6"/>
        <v>1</v>
      </c>
      <c r="U65">
        <f t="shared" si="7"/>
        <v>0</v>
      </c>
      <c r="V65">
        <f t="shared" si="8"/>
        <v>0</v>
      </c>
      <c r="W65" t="str">
        <f>VLOOKUP(A65,[2]!Table2[[NCT Number]:[Intervention type]],11,FALSE)</f>
        <v>Targeted therapy+chemo</v>
      </c>
      <c r="X65">
        <f t="shared" si="27"/>
        <v>0</v>
      </c>
      <c r="Y65">
        <f t="shared" si="9"/>
        <v>1</v>
      </c>
      <c r="Z65">
        <f t="shared" si="10"/>
        <v>0</v>
      </c>
      <c r="AA65">
        <f t="shared" si="11"/>
        <v>0</v>
      </c>
      <c r="AB65">
        <f t="shared" si="12"/>
        <v>0</v>
      </c>
      <c r="AC65">
        <f t="shared" si="13"/>
        <v>0</v>
      </c>
      <c r="AD65">
        <f t="shared" si="14"/>
        <v>1</v>
      </c>
      <c r="AE65">
        <f t="shared" si="15"/>
        <v>0</v>
      </c>
      <c r="AF65">
        <f>IF(ISNUMBER(SEARCH("endocrine", W65)), 1, 0)</f>
        <v>0</v>
      </c>
      <c r="AG65" t="s">
        <v>9</v>
      </c>
      <c r="AH65" t="s">
        <v>10</v>
      </c>
      <c r="AI65" t="s">
        <v>11</v>
      </c>
      <c r="AJ65">
        <f t="shared" si="16"/>
        <v>0</v>
      </c>
      <c r="AK65">
        <f t="shared" si="17"/>
        <v>1</v>
      </c>
      <c r="AL65">
        <f t="shared" si="18"/>
        <v>0</v>
      </c>
      <c r="AM65">
        <f t="shared" si="19"/>
        <v>0</v>
      </c>
      <c r="AN65">
        <f t="shared" si="20"/>
        <v>0</v>
      </c>
      <c r="AO65">
        <f t="shared" si="21"/>
        <v>0</v>
      </c>
      <c r="AP65" t="s">
        <v>12</v>
      </c>
      <c r="AQ65">
        <f t="shared" si="22"/>
        <v>1</v>
      </c>
      <c r="AR65">
        <f t="shared" si="23"/>
        <v>0</v>
      </c>
      <c r="AS65">
        <f t="shared" si="24"/>
        <v>0</v>
      </c>
      <c r="AT65">
        <f t="shared" si="25"/>
        <v>0</v>
      </c>
      <c r="AU65">
        <f t="shared" si="26"/>
        <v>0</v>
      </c>
    </row>
    <row r="66" spans="1:47" x14ac:dyDescent="0.2">
      <c r="A66" t="s">
        <v>95</v>
      </c>
      <c r="B66">
        <v>2022</v>
      </c>
      <c r="C66">
        <v>2016</v>
      </c>
      <c r="D66" t="s">
        <v>265</v>
      </c>
      <c r="E66">
        <v>0</v>
      </c>
      <c r="F66">
        <v>1</v>
      </c>
      <c r="G66">
        <v>0</v>
      </c>
      <c r="H66">
        <v>233</v>
      </c>
      <c r="I66">
        <v>1</v>
      </c>
      <c r="J66">
        <f t="shared" si="0"/>
        <v>0.42918454935622319</v>
      </c>
      <c r="K66">
        <v>10</v>
      </c>
      <c r="L66">
        <v>222</v>
      </c>
      <c r="M66">
        <v>193</v>
      </c>
      <c r="N66" t="s">
        <v>35</v>
      </c>
      <c r="O66">
        <f t="shared" si="1"/>
        <v>0</v>
      </c>
      <c r="P66">
        <f t="shared" si="2"/>
        <v>0</v>
      </c>
      <c r="Q66">
        <f t="shared" si="3"/>
        <v>0</v>
      </c>
      <c r="R66">
        <f t="shared" si="4"/>
        <v>0</v>
      </c>
      <c r="S66">
        <f t="shared" si="5"/>
        <v>1</v>
      </c>
      <c r="T66">
        <f t="shared" si="6"/>
        <v>0</v>
      </c>
      <c r="U66">
        <f t="shared" si="7"/>
        <v>0</v>
      </c>
      <c r="V66">
        <f t="shared" si="8"/>
        <v>0</v>
      </c>
      <c r="W66" t="str">
        <f>VLOOKUP(A66,[2]!Table2[[NCT Number]:[Intervention type]],11,FALSE)</f>
        <v>immunotherapy</v>
      </c>
      <c r="X66">
        <f t="shared" si="27"/>
        <v>1</v>
      </c>
      <c r="Y66">
        <f t="shared" si="9"/>
        <v>0</v>
      </c>
      <c r="Z66">
        <f t="shared" si="10"/>
        <v>0</v>
      </c>
      <c r="AA66">
        <f t="shared" si="11"/>
        <v>0</v>
      </c>
      <c r="AB66">
        <f t="shared" si="12"/>
        <v>0</v>
      </c>
      <c r="AC66">
        <f t="shared" si="13"/>
        <v>0</v>
      </c>
      <c r="AD66">
        <f t="shared" si="14"/>
        <v>0</v>
      </c>
      <c r="AE66">
        <f t="shared" si="15"/>
        <v>0</v>
      </c>
      <c r="AF66">
        <f>IF(ISNUMBER(SEARCH("endocrine", W66)), 1, 0)</f>
        <v>0</v>
      </c>
      <c r="AG66" t="s">
        <v>15</v>
      </c>
      <c r="AH66" t="s">
        <v>10</v>
      </c>
      <c r="AI66" t="s">
        <v>263</v>
      </c>
      <c r="AJ66">
        <f t="shared" si="16"/>
        <v>0</v>
      </c>
      <c r="AK66">
        <f t="shared" si="17"/>
        <v>0</v>
      </c>
      <c r="AL66">
        <f t="shared" si="18"/>
        <v>0</v>
      </c>
      <c r="AM66">
        <f t="shared" si="19"/>
        <v>0</v>
      </c>
      <c r="AN66">
        <f t="shared" si="20"/>
        <v>1</v>
      </c>
      <c r="AO66">
        <f t="shared" si="21"/>
        <v>0</v>
      </c>
      <c r="AP66" t="s">
        <v>39</v>
      </c>
      <c r="AQ66">
        <f t="shared" si="22"/>
        <v>0</v>
      </c>
      <c r="AR66">
        <f t="shared" si="23"/>
        <v>0</v>
      </c>
      <c r="AS66">
        <f t="shared" si="24"/>
        <v>1</v>
      </c>
      <c r="AT66">
        <f t="shared" si="25"/>
        <v>0</v>
      </c>
      <c r="AU66">
        <f t="shared" si="26"/>
        <v>0</v>
      </c>
    </row>
    <row r="67" spans="1:47" x14ac:dyDescent="0.2">
      <c r="A67" t="s">
        <v>96</v>
      </c>
      <c r="B67">
        <v>2018</v>
      </c>
      <c r="C67">
        <v>2013</v>
      </c>
      <c r="D67" t="s">
        <v>264</v>
      </c>
      <c r="E67">
        <v>1</v>
      </c>
      <c r="F67">
        <v>0</v>
      </c>
      <c r="G67">
        <v>0</v>
      </c>
      <c r="H67">
        <v>240</v>
      </c>
      <c r="I67" t="s">
        <v>8</v>
      </c>
      <c r="J67" t="s">
        <v>8</v>
      </c>
      <c r="K67" t="s">
        <v>8</v>
      </c>
      <c r="L67" t="s">
        <v>8</v>
      </c>
      <c r="M67">
        <v>1</v>
      </c>
      <c r="N67" t="s">
        <v>46</v>
      </c>
      <c r="O67">
        <f t="shared" ref="O67:O130" si="28">IF(ISNUMBER(SEARCH("Breast", N67)), 1, 0)</f>
        <v>1</v>
      </c>
      <c r="P67">
        <f t="shared" ref="P67:P130" si="29">IF(ISNUMBER(SEARCH("GI", $N67)), 1, 0)</f>
        <v>0</v>
      </c>
      <c r="Q67">
        <f t="shared" ref="Q67:Q130" si="30">IF(ISNUMBER(SEARCH("GU", $N67)), 1, 0)</f>
        <v>0</v>
      </c>
      <c r="R67">
        <f t="shared" ref="R67:R130" si="31">IF(ISNUMBER(SEARCH("Gynacologic", $N67)), 1, 0)</f>
        <v>0</v>
      </c>
      <c r="S67">
        <f t="shared" ref="S67:S130" si="32">IF(ISNUMBER(SEARCH("Head and neck", $N67)), 1, 0)</f>
        <v>0</v>
      </c>
      <c r="T67">
        <f t="shared" ref="T67:T130" si="33">IF(ISNUMBER(SEARCH("Hematologic", $N67)), 1, 0)</f>
        <v>0</v>
      </c>
      <c r="U67">
        <f t="shared" ref="U67:U130" si="34">IF(ISNUMBER(SEARCH("Lung", $N67)), 1, 0)</f>
        <v>0</v>
      </c>
      <c r="V67">
        <f t="shared" ref="V67:V130" si="35">IF(ISNUMBER(SEARCH("Skin", $N67)), 1, 0)</f>
        <v>0</v>
      </c>
      <c r="W67" t="str">
        <f>VLOOKUP(A67,[2]!Table2[[NCT Number]:[Intervention type]],11,FALSE)</f>
        <v>Targeted therapy+chemo</v>
      </c>
      <c r="X67">
        <f t="shared" ref="X67:X130" si="36">IF(ISNUMBER(SEARCH("immunotherapy", W67)), 1, 0)</f>
        <v>0</v>
      </c>
      <c r="Y67">
        <f t="shared" ref="Y67:Y130" si="37">IF(ISNUMBER(SEARCH("Targeted therapy", W67)), 1, 0)</f>
        <v>1</v>
      </c>
      <c r="Z67">
        <f t="shared" ref="Z67:Z130" si="38">IF(ISNUMBER(SEARCH("chemotherapy", W67)), 1, 0)</f>
        <v>0</v>
      </c>
      <c r="AA67">
        <f t="shared" ref="AA67:AA130" si="39">IF(ISNUMBER(SEARCH("biologic agent", W67)), 1, 0)</f>
        <v>0</v>
      </c>
      <c r="AB67">
        <f t="shared" ref="AB67:AB130" si="40">IF(ISNUMBER(FIND("Other", W67)), 1, 0)</f>
        <v>0</v>
      </c>
      <c r="AC67">
        <f t="shared" ref="AC67:AC130" si="41">IF(ISNUMBER(SEARCH("immunotherapy+targeted therapy", W67)), 1, 0)</f>
        <v>0</v>
      </c>
      <c r="AD67">
        <f t="shared" ref="AD67:AD130" si="42">IF(ISNUMBER(SEARCH("Targeted therapy+chemo", W67)), 1, 0)</f>
        <v>1</v>
      </c>
      <c r="AE67">
        <f t="shared" ref="AE67:AE130" si="43">IF(ISNUMBER(SEARCH("immunotherapy+chemo", W67)), 1, 0)</f>
        <v>0</v>
      </c>
      <c r="AF67">
        <f>IF(ISNUMBER(SEARCH("endocrine", W67)), 1, 0)</f>
        <v>0</v>
      </c>
      <c r="AG67" t="s">
        <v>9</v>
      </c>
      <c r="AH67" t="s">
        <v>10</v>
      </c>
      <c r="AI67" t="s">
        <v>42</v>
      </c>
      <c r="AJ67">
        <f t="shared" ref="AJ67:AJ130" si="44">IF(ISNUMBER(FIND("CrABS", AI67)), 1, 0)</f>
        <v>0</v>
      </c>
      <c r="AK67">
        <f t="shared" ref="AK67:AK130" si="45">IF(ISNUMBER(FIND("CrCl", AI67)), 1, 0)</f>
        <v>0</v>
      </c>
      <c r="AL67">
        <f t="shared" ref="AL67:AL130" si="46">IF(ISNUMBER(FIND("CrULN", AI67)), 1, 0)</f>
        <v>1</v>
      </c>
      <c r="AM67">
        <f t="shared" ref="AM67:AM130" si="47">IF(ISNUMBER(FIND("eGFR", AI67)), 1, 0)</f>
        <v>0</v>
      </c>
      <c r="AN67">
        <f t="shared" ref="AN67:AN130" si="48">IF(ISNUMBER(FIND("Heterogeneous", AI67)), 1, 0)</f>
        <v>0</v>
      </c>
      <c r="AO67">
        <f t="shared" ref="AO67:AO130" si="49">IF(ISNUMBER(FIND("n/a", AI67)), 1, 0)</f>
        <v>0</v>
      </c>
      <c r="AP67" t="s">
        <v>8</v>
      </c>
      <c r="AQ67">
        <f t="shared" ref="AQ67:AQ130" si="50">IF(ISNUMBER(FIND("Cockcroft- Gault", $AP67)), 1, 0)</f>
        <v>0</v>
      </c>
      <c r="AR67">
        <f t="shared" ref="AR67:AR130" si="51">IF(ISNUMBER(FIND("MDRD", $AP67)), 1, 0)</f>
        <v>0</v>
      </c>
      <c r="AS67">
        <f t="shared" ref="AS67:AS130" si="52">IF(ISNUMBER(FIND("Institutional standard", $AP67)), 1, 0)</f>
        <v>0</v>
      </c>
      <c r="AT67">
        <f t="shared" ref="AT67:AT130" si="53">IF(ISNUMBER(FIND("Heterogenous", $AP67)), 1, 0)</f>
        <v>0</v>
      </c>
      <c r="AU67">
        <f t="shared" ref="AU67:AU130" si="54">IF(ISNUMBER(FIND("n/a", $AP67)), 1, 0)</f>
        <v>1</v>
      </c>
    </row>
    <row r="68" spans="1:47" x14ac:dyDescent="0.2">
      <c r="A68" t="s">
        <v>97</v>
      </c>
      <c r="B68">
        <v>2021</v>
      </c>
      <c r="C68">
        <v>2015</v>
      </c>
      <c r="D68" t="s">
        <v>264</v>
      </c>
      <c r="E68">
        <v>1</v>
      </c>
      <c r="F68">
        <v>0</v>
      </c>
      <c r="G68">
        <v>0</v>
      </c>
      <c r="H68">
        <v>243</v>
      </c>
      <c r="I68">
        <v>0</v>
      </c>
      <c r="J68">
        <f t="shared" ref="J68:J130" si="55">100*I68/H68</f>
        <v>0</v>
      </c>
      <c r="K68">
        <v>0</v>
      </c>
      <c r="L68">
        <v>243</v>
      </c>
      <c r="M68">
        <v>213</v>
      </c>
      <c r="N68" t="s">
        <v>35</v>
      </c>
      <c r="O68">
        <f t="shared" si="28"/>
        <v>0</v>
      </c>
      <c r="P68">
        <f t="shared" si="29"/>
        <v>0</v>
      </c>
      <c r="Q68">
        <f t="shared" si="30"/>
        <v>0</v>
      </c>
      <c r="R68">
        <f t="shared" si="31"/>
        <v>0</v>
      </c>
      <c r="S68">
        <f t="shared" si="32"/>
        <v>1</v>
      </c>
      <c r="T68">
        <f t="shared" si="33"/>
        <v>0</v>
      </c>
      <c r="U68">
        <f t="shared" si="34"/>
        <v>0</v>
      </c>
      <c r="V68">
        <f t="shared" si="35"/>
        <v>0</v>
      </c>
      <c r="W68" t="str">
        <f>VLOOKUP(A68,[2]!Table2[[NCT Number]:[Intervention type]],11,FALSE)</f>
        <v>immunotherapy+chemo</v>
      </c>
      <c r="X68">
        <f t="shared" si="36"/>
        <v>1</v>
      </c>
      <c r="Y68">
        <f t="shared" si="37"/>
        <v>0</v>
      </c>
      <c r="Z68">
        <f t="shared" si="38"/>
        <v>0</v>
      </c>
      <c r="AA68">
        <f t="shared" si="39"/>
        <v>0</v>
      </c>
      <c r="AB68">
        <f t="shared" si="40"/>
        <v>0</v>
      </c>
      <c r="AC68">
        <f t="shared" si="41"/>
        <v>0</v>
      </c>
      <c r="AD68">
        <f t="shared" si="42"/>
        <v>0</v>
      </c>
      <c r="AE68">
        <f t="shared" si="43"/>
        <v>1</v>
      </c>
      <c r="AF68">
        <f>IF(ISNUMBER(SEARCH("endocrine", W68)), 1, 0)</f>
        <v>0</v>
      </c>
      <c r="AG68" t="s">
        <v>9</v>
      </c>
      <c r="AH68" t="s">
        <v>10</v>
      </c>
      <c r="AI68" t="s">
        <v>11</v>
      </c>
      <c r="AJ68">
        <f t="shared" si="44"/>
        <v>0</v>
      </c>
      <c r="AK68">
        <f t="shared" si="45"/>
        <v>1</v>
      </c>
      <c r="AL68">
        <f t="shared" si="46"/>
        <v>0</v>
      </c>
      <c r="AM68">
        <f t="shared" si="47"/>
        <v>0</v>
      </c>
      <c r="AN68">
        <f t="shared" si="48"/>
        <v>0</v>
      </c>
      <c r="AO68">
        <f t="shared" si="49"/>
        <v>0</v>
      </c>
      <c r="AP68" t="s">
        <v>8</v>
      </c>
      <c r="AQ68">
        <f t="shared" si="50"/>
        <v>0</v>
      </c>
      <c r="AR68">
        <f t="shared" si="51"/>
        <v>0</v>
      </c>
      <c r="AS68">
        <f t="shared" si="52"/>
        <v>0</v>
      </c>
      <c r="AT68">
        <f t="shared" si="53"/>
        <v>0</v>
      </c>
      <c r="AU68">
        <f t="shared" si="54"/>
        <v>1</v>
      </c>
    </row>
    <row r="69" spans="1:47" x14ac:dyDescent="0.2">
      <c r="A69" t="s">
        <v>98</v>
      </c>
      <c r="B69">
        <v>2021</v>
      </c>
      <c r="C69">
        <v>2016</v>
      </c>
      <c r="D69" t="s">
        <v>265</v>
      </c>
      <c r="E69">
        <v>0</v>
      </c>
      <c r="F69">
        <v>1</v>
      </c>
      <c r="G69">
        <v>0</v>
      </c>
      <c r="H69">
        <v>243</v>
      </c>
      <c r="I69">
        <v>0</v>
      </c>
      <c r="J69">
        <f t="shared" si="55"/>
        <v>0</v>
      </c>
      <c r="K69">
        <v>0</v>
      </c>
      <c r="L69">
        <v>243</v>
      </c>
      <c r="M69">
        <v>0</v>
      </c>
      <c r="N69" t="s">
        <v>46</v>
      </c>
      <c r="O69">
        <f t="shared" si="28"/>
        <v>1</v>
      </c>
      <c r="P69">
        <f t="shared" si="29"/>
        <v>0</v>
      </c>
      <c r="Q69">
        <f t="shared" si="30"/>
        <v>0</v>
      </c>
      <c r="R69">
        <f t="shared" si="31"/>
        <v>0</v>
      </c>
      <c r="S69">
        <f t="shared" si="32"/>
        <v>0</v>
      </c>
      <c r="T69">
        <f t="shared" si="33"/>
        <v>0</v>
      </c>
      <c r="U69">
        <f t="shared" si="34"/>
        <v>0</v>
      </c>
      <c r="V69">
        <f t="shared" si="35"/>
        <v>0</v>
      </c>
      <c r="W69" t="str">
        <f>VLOOKUP(A69,[2]!Table2[[NCT Number]:[Intervention type]],11,FALSE)</f>
        <v>Targeted therapy+chemo</v>
      </c>
      <c r="X69">
        <f t="shared" si="36"/>
        <v>0</v>
      </c>
      <c r="Y69">
        <f t="shared" si="37"/>
        <v>1</v>
      </c>
      <c r="Z69">
        <f t="shared" si="38"/>
        <v>0</v>
      </c>
      <c r="AA69">
        <f t="shared" si="39"/>
        <v>0</v>
      </c>
      <c r="AB69">
        <f t="shared" si="40"/>
        <v>0</v>
      </c>
      <c r="AC69">
        <f t="shared" si="41"/>
        <v>0</v>
      </c>
      <c r="AD69">
        <f t="shared" si="42"/>
        <v>1</v>
      </c>
      <c r="AE69">
        <f t="shared" si="43"/>
        <v>0</v>
      </c>
      <c r="AF69">
        <f>IF(ISNUMBER(SEARCH("endocrine", W69)), 1, 0)</f>
        <v>0</v>
      </c>
      <c r="AG69" t="s">
        <v>9</v>
      </c>
      <c r="AH69" t="s">
        <v>10</v>
      </c>
      <c r="AI69" t="s">
        <v>26</v>
      </c>
      <c r="AJ69">
        <f t="shared" si="44"/>
        <v>1</v>
      </c>
      <c r="AK69">
        <f t="shared" si="45"/>
        <v>0</v>
      </c>
      <c r="AL69">
        <f t="shared" si="46"/>
        <v>0</v>
      </c>
      <c r="AM69">
        <f t="shared" si="47"/>
        <v>0</v>
      </c>
      <c r="AN69">
        <f t="shared" si="48"/>
        <v>0</v>
      </c>
      <c r="AO69">
        <f t="shared" si="49"/>
        <v>0</v>
      </c>
      <c r="AP69" t="s">
        <v>8</v>
      </c>
      <c r="AQ69">
        <f t="shared" si="50"/>
        <v>0</v>
      </c>
      <c r="AR69">
        <f t="shared" si="51"/>
        <v>0</v>
      </c>
      <c r="AS69">
        <f t="shared" si="52"/>
        <v>0</v>
      </c>
      <c r="AT69">
        <f t="shared" si="53"/>
        <v>0</v>
      </c>
      <c r="AU69">
        <f t="shared" si="54"/>
        <v>1</v>
      </c>
    </row>
    <row r="70" spans="1:47" x14ac:dyDescent="0.2">
      <c r="A70" t="s">
        <v>99</v>
      </c>
      <c r="B70">
        <v>2023</v>
      </c>
      <c r="C70">
        <v>2017</v>
      </c>
      <c r="D70" t="s">
        <v>265</v>
      </c>
      <c r="E70">
        <v>0</v>
      </c>
      <c r="F70">
        <v>1</v>
      </c>
      <c r="G70">
        <v>0</v>
      </c>
      <c r="H70">
        <v>249</v>
      </c>
      <c r="I70">
        <v>3</v>
      </c>
      <c r="J70">
        <f t="shared" si="55"/>
        <v>1.2048192771084338</v>
      </c>
      <c r="K70">
        <v>232</v>
      </c>
      <c r="L70">
        <v>14</v>
      </c>
      <c r="M70">
        <v>206</v>
      </c>
      <c r="N70" t="s">
        <v>18</v>
      </c>
      <c r="O70">
        <f t="shared" si="28"/>
        <v>0</v>
      </c>
      <c r="P70">
        <f t="shared" si="29"/>
        <v>0</v>
      </c>
      <c r="Q70">
        <f t="shared" si="30"/>
        <v>0</v>
      </c>
      <c r="R70">
        <f t="shared" si="31"/>
        <v>0</v>
      </c>
      <c r="S70">
        <f t="shared" si="32"/>
        <v>0</v>
      </c>
      <c r="T70">
        <f t="shared" si="33"/>
        <v>0</v>
      </c>
      <c r="U70">
        <f t="shared" si="34"/>
        <v>1</v>
      </c>
      <c r="V70">
        <f t="shared" si="35"/>
        <v>0</v>
      </c>
      <c r="W70" t="str">
        <f>VLOOKUP(A70,[2]!Table2[[NCT Number]:[Intervention type]],11,FALSE)</f>
        <v>Targeted therapy+chemo</v>
      </c>
      <c r="X70">
        <f t="shared" si="36"/>
        <v>0</v>
      </c>
      <c r="Y70">
        <f t="shared" si="37"/>
        <v>1</v>
      </c>
      <c r="Z70">
        <f t="shared" si="38"/>
        <v>0</v>
      </c>
      <c r="AA70">
        <f t="shared" si="39"/>
        <v>0</v>
      </c>
      <c r="AB70">
        <f t="shared" si="40"/>
        <v>0</v>
      </c>
      <c r="AC70">
        <f t="shared" si="41"/>
        <v>0</v>
      </c>
      <c r="AD70">
        <f t="shared" si="42"/>
        <v>1</v>
      </c>
      <c r="AE70">
        <f t="shared" si="43"/>
        <v>0</v>
      </c>
      <c r="AF70">
        <f>IF(ISNUMBER(SEARCH("endocrine", W70)), 1, 0)</f>
        <v>0</v>
      </c>
      <c r="AG70" t="s">
        <v>9</v>
      </c>
      <c r="AH70" t="s">
        <v>10</v>
      </c>
      <c r="AI70" t="s">
        <v>263</v>
      </c>
      <c r="AJ70">
        <f t="shared" si="44"/>
        <v>0</v>
      </c>
      <c r="AK70">
        <f t="shared" si="45"/>
        <v>0</v>
      </c>
      <c r="AL70">
        <f t="shared" si="46"/>
        <v>0</v>
      </c>
      <c r="AM70">
        <f t="shared" si="47"/>
        <v>0</v>
      </c>
      <c r="AN70">
        <f t="shared" si="48"/>
        <v>1</v>
      </c>
      <c r="AO70">
        <f t="shared" si="49"/>
        <v>0</v>
      </c>
      <c r="AP70" t="s">
        <v>12</v>
      </c>
      <c r="AQ70">
        <f t="shared" si="50"/>
        <v>1</v>
      </c>
      <c r="AR70">
        <f t="shared" si="51"/>
        <v>0</v>
      </c>
      <c r="AS70">
        <f t="shared" si="52"/>
        <v>0</v>
      </c>
      <c r="AT70">
        <f t="shared" si="53"/>
        <v>0</v>
      </c>
      <c r="AU70">
        <f t="shared" si="54"/>
        <v>0</v>
      </c>
    </row>
    <row r="71" spans="1:47" x14ac:dyDescent="0.2">
      <c r="A71" t="s">
        <v>100</v>
      </c>
      <c r="B71">
        <v>2021</v>
      </c>
      <c r="C71">
        <v>2018</v>
      </c>
      <c r="D71" t="s">
        <v>265</v>
      </c>
      <c r="E71">
        <v>0</v>
      </c>
      <c r="F71">
        <v>1</v>
      </c>
      <c r="G71">
        <v>0</v>
      </c>
      <c r="H71">
        <v>252</v>
      </c>
      <c r="I71">
        <v>2</v>
      </c>
      <c r="J71">
        <f t="shared" si="55"/>
        <v>0.79365079365079361</v>
      </c>
      <c r="K71">
        <v>176</v>
      </c>
      <c r="L71">
        <v>21</v>
      </c>
      <c r="M71">
        <v>4</v>
      </c>
      <c r="N71" t="s">
        <v>46</v>
      </c>
      <c r="O71">
        <f t="shared" si="28"/>
        <v>1</v>
      </c>
      <c r="P71">
        <f t="shared" si="29"/>
        <v>0</v>
      </c>
      <c r="Q71">
        <f t="shared" si="30"/>
        <v>0</v>
      </c>
      <c r="R71">
        <f t="shared" si="31"/>
        <v>0</v>
      </c>
      <c r="S71">
        <f t="shared" si="32"/>
        <v>0</v>
      </c>
      <c r="T71">
        <f t="shared" si="33"/>
        <v>0</v>
      </c>
      <c r="U71">
        <f t="shared" si="34"/>
        <v>0</v>
      </c>
      <c r="V71">
        <f t="shared" si="35"/>
        <v>0</v>
      </c>
      <c r="W71" t="str">
        <f>VLOOKUP(A71,[2]!Table2[[NCT Number]:[Intervention type]],11,FALSE)</f>
        <v>Targeted therapy</v>
      </c>
      <c r="X71">
        <f t="shared" si="36"/>
        <v>0</v>
      </c>
      <c r="Y71">
        <f t="shared" si="37"/>
        <v>1</v>
      </c>
      <c r="Z71">
        <f t="shared" si="38"/>
        <v>0</v>
      </c>
      <c r="AA71">
        <f t="shared" si="39"/>
        <v>0</v>
      </c>
      <c r="AB71">
        <f t="shared" si="40"/>
        <v>0</v>
      </c>
      <c r="AC71">
        <f t="shared" si="41"/>
        <v>0</v>
      </c>
      <c r="AD71">
        <f t="shared" si="42"/>
        <v>0</v>
      </c>
      <c r="AE71">
        <f t="shared" si="43"/>
        <v>0</v>
      </c>
      <c r="AF71">
        <f>IF(ISNUMBER(SEARCH("endocrine", W71)), 1, 0)</f>
        <v>0</v>
      </c>
      <c r="AG71" t="s">
        <v>15</v>
      </c>
      <c r="AH71" t="s">
        <v>10</v>
      </c>
      <c r="AI71" t="s">
        <v>11</v>
      </c>
      <c r="AJ71">
        <f t="shared" si="44"/>
        <v>0</v>
      </c>
      <c r="AK71">
        <f t="shared" si="45"/>
        <v>1</v>
      </c>
      <c r="AL71">
        <f t="shared" si="46"/>
        <v>0</v>
      </c>
      <c r="AM71">
        <f t="shared" si="47"/>
        <v>0</v>
      </c>
      <c r="AN71">
        <f t="shared" si="48"/>
        <v>0</v>
      </c>
      <c r="AO71">
        <f t="shared" si="49"/>
        <v>0</v>
      </c>
      <c r="AP71" t="s">
        <v>12</v>
      </c>
      <c r="AQ71">
        <f t="shared" si="50"/>
        <v>1</v>
      </c>
      <c r="AR71">
        <f t="shared" si="51"/>
        <v>0</v>
      </c>
      <c r="AS71">
        <f t="shared" si="52"/>
        <v>0</v>
      </c>
      <c r="AT71">
        <f t="shared" si="53"/>
        <v>0</v>
      </c>
      <c r="AU71">
        <f t="shared" si="54"/>
        <v>0</v>
      </c>
    </row>
    <row r="72" spans="1:47" x14ac:dyDescent="0.2">
      <c r="A72" t="s">
        <v>101</v>
      </c>
      <c r="B72">
        <v>2022</v>
      </c>
      <c r="C72">
        <v>2016</v>
      </c>
      <c r="D72" t="s">
        <v>265</v>
      </c>
      <c r="E72">
        <v>0</v>
      </c>
      <c r="F72">
        <v>1</v>
      </c>
      <c r="G72">
        <v>0</v>
      </c>
      <c r="H72">
        <v>256</v>
      </c>
      <c r="I72">
        <v>0</v>
      </c>
      <c r="J72">
        <f t="shared" si="55"/>
        <v>0</v>
      </c>
      <c r="K72">
        <v>203</v>
      </c>
      <c r="L72">
        <v>53</v>
      </c>
      <c r="M72">
        <v>126</v>
      </c>
      <c r="N72" t="s">
        <v>6</v>
      </c>
      <c r="O72">
        <f t="shared" si="28"/>
        <v>0</v>
      </c>
      <c r="P72">
        <f t="shared" si="29"/>
        <v>1</v>
      </c>
      <c r="Q72">
        <f t="shared" si="30"/>
        <v>0</v>
      </c>
      <c r="R72">
        <f t="shared" si="31"/>
        <v>0</v>
      </c>
      <c r="S72">
        <f t="shared" si="32"/>
        <v>0</v>
      </c>
      <c r="T72">
        <f t="shared" si="33"/>
        <v>1</v>
      </c>
      <c r="U72">
        <f t="shared" si="34"/>
        <v>0</v>
      </c>
      <c r="V72">
        <f t="shared" si="35"/>
        <v>0</v>
      </c>
      <c r="W72" t="str">
        <f>VLOOKUP(A72,[2]!Table2[[NCT Number]:[Intervention type]],11,FALSE)</f>
        <v>Targeted therapy</v>
      </c>
      <c r="X72">
        <f t="shared" si="36"/>
        <v>0</v>
      </c>
      <c r="Y72">
        <f t="shared" si="37"/>
        <v>1</v>
      </c>
      <c r="Z72">
        <f t="shared" si="38"/>
        <v>0</v>
      </c>
      <c r="AA72">
        <f t="shared" si="39"/>
        <v>0</v>
      </c>
      <c r="AB72">
        <f t="shared" si="40"/>
        <v>0</v>
      </c>
      <c r="AC72">
        <f t="shared" si="41"/>
        <v>0</v>
      </c>
      <c r="AD72">
        <f t="shared" si="42"/>
        <v>0</v>
      </c>
      <c r="AE72">
        <f t="shared" si="43"/>
        <v>0</v>
      </c>
      <c r="AF72">
        <f>IF(ISNUMBER(SEARCH("endocrine", W72)), 1, 0)</f>
        <v>0</v>
      </c>
      <c r="AG72" t="s">
        <v>15</v>
      </c>
      <c r="AH72" t="s">
        <v>10</v>
      </c>
      <c r="AI72" t="s">
        <v>263</v>
      </c>
      <c r="AJ72">
        <f t="shared" si="44"/>
        <v>0</v>
      </c>
      <c r="AK72">
        <f t="shared" si="45"/>
        <v>0</v>
      </c>
      <c r="AL72">
        <f t="shared" si="46"/>
        <v>0</v>
      </c>
      <c r="AM72">
        <f t="shared" si="47"/>
        <v>0</v>
      </c>
      <c r="AN72">
        <f t="shared" si="48"/>
        <v>1</v>
      </c>
      <c r="AO72">
        <f t="shared" si="49"/>
        <v>0</v>
      </c>
      <c r="AP72" t="s">
        <v>12</v>
      </c>
      <c r="AQ72">
        <f t="shared" si="50"/>
        <v>1</v>
      </c>
      <c r="AR72">
        <f t="shared" si="51"/>
        <v>0</v>
      </c>
      <c r="AS72">
        <f t="shared" si="52"/>
        <v>0</v>
      </c>
      <c r="AT72">
        <f t="shared" si="53"/>
        <v>0</v>
      </c>
      <c r="AU72">
        <f t="shared" si="54"/>
        <v>0</v>
      </c>
    </row>
    <row r="73" spans="1:47" x14ac:dyDescent="0.2">
      <c r="A73" t="s">
        <v>102</v>
      </c>
      <c r="B73">
        <v>2022</v>
      </c>
      <c r="C73">
        <v>2016</v>
      </c>
      <c r="D73" t="s">
        <v>265</v>
      </c>
      <c r="E73">
        <v>0</v>
      </c>
      <c r="F73">
        <v>1</v>
      </c>
      <c r="G73">
        <v>0</v>
      </c>
      <c r="H73">
        <v>258</v>
      </c>
      <c r="I73">
        <v>3</v>
      </c>
      <c r="J73">
        <f t="shared" si="55"/>
        <v>1.1627906976744187</v>
      </c>
      <c r="K73">
        <v>252</v>
      </c>
      <c r="L73">
        <v>3</v>
      </c>
      <c r="M73">
        <v>180</v>
      </c>
      <c r="N73" t="s">
        <v>6</v>
      </c>
      <c r="O73">
        <f t="shared" si="28"/>
        <v>0</v>
      </c>
      <c r="P73">
        <f t="shared" si="29"/>
        <v>1</v>
      </c>
      <c r="Q73">
        <f t="shared" si="30"/>
        <v>0</v>
      </c>
      <c r="R73">
        <f t="shared" si="31"/>
        <v>0</v>
      </c>
      <c r="S73">
        <f t="shared" si="32"/>
        <v>0</v>
      </c>
      <c r="T73">
        <f t="shared" si="33"/>
        <v>1</v>
      </c>
      <c r="U73">
        <f t="shared" si="34"/>
        <v>0</v>
      </c>
      <c r="V73">
        <f t="shared" si="35"/>
        <v>0</v>
      </c>
      <c r="W73" t="str">
        <f>VLOOKUP(A73,[2]!Table2[[NCT Number]:[Intervention type]],11,FALSE)</f>
        <v>Targeted therapy</v>
      </c>
      <c r="X73">
        <f t="shared" si="36"/>
        <v>0</v>
      </c>
      <c r="Y73">
        <f t="shared" si="37"/>
        <v>1</v>
      </c>
      <c r="Z73">
        <f t="shared" si="38"/>
        <v>0</v>
      </c>
      <c r="AA73">
        <f t="shared" si="39"/>
        <v>0</v>
      </c>
      <c r="AB73">
        <f t="shared" si="40"/>
        <v>0</v>
      </c>
      <c r="AC73">
        <f t="shared" si="41"/>
        <v>0</v>
      </c>
      <c r="AD73">
        <f t="shared" si="42"/>
        <v>0</v>
      </c>
      <c r="AE73">
        <f t="shared" si="43"/>
        <v>0</v>
      </c>
      <c r="AF73">
        <f>IF(ISNUMBER(SEARCH("endocrine", W73)), 1, 0)</f>
        <v>0</v>
      </c>
      <c r="AG73" t="s">
        <v>15</v>
      </c>
      <c r="AH73" t="s">
        <v>10</v>
      </c>
      <c r="AI73" t="s">
        <v>11</v>
      </c>
      <c r="AJ73">
        <f t="shared" si="44"/>
        <v>0</v>
      </c>
      <c r="AK73">
        <f t="shared" si="45"/>
        <v>1</v>
      </c>
      <c r="AL73">
        <f t="shared" si="46"/>
        <v>0</v>
      </c>
      <c r="AM73">
        <f t="shared" si="47"/>
        <v>0</v>
      </c>
      <c r="AN73">
        <f t="shared" si="48"/>
        <v>0</v>
      </c>
      <c r="AO73">
        <f t="shared" si="49"/>
        <v>0</v>
      </c>
      <c r="AP73" t="s">
        <v>12</v>
      </c>
      <c r="AQ73">
        <f t="shared" si="50"/>
        <v>1</v>
      </c>
      <c r="AR73">
        <f t="shared" si="51"/>
        <v>0</v>
      </c>
      <c r="AS73">
        <f t="shared" si="52"/>
        <v>0</v>
      </c>
      <c r="AT73">
        <f t="shared" si="53"/>
        <v>0</v>
      </c>
      <c r="AU73">
        <f t="shared" si="54"/>
        <v>0</v>
      </c>
    </row>
    <row r="74" spans="1:47" x14ac:dyDescent="0.2">
      <c r="A74" t="s">
        <v>103</v>
      </c>
      <c r="B74">
        <v>2021</v>
      </c>
      <c r="C74">
        <v>2015</v>
      </c>
      <c r="D74" t="s">
        <v>264</v>
      </c>
      <c r="E74">
        <v>1</v>
      </c>
      <c r="F74">
        <v>0</v>
      </c>
      <c r="G74">
        <v>0</v>
      </c>
      <c r="H74">
        <v>258</v>
      </c>
      <c r="I74" t="s">
        <v>8</v>
      </c>
      <c r="J74" t="s">
        <v>8</v>
      </c>
      <c r="K74" t="s">
        <v>8</v>
      </c>
      <c r="L74" t="s">
        <v>8</v>
      </c>
      <c r="M74">
        <v>123</v>
      </c>
      <c r="N74" t="s">
        <v>6</v>
      </c>
      <c r="O74">
        <f t="shared" si="28"/>
        <v>0</v>
      </c>
      <c r="P74">
        <f t="shared" si="29"/>
        <v>1</v>
      </c>
      <c r="Q74">
        <f t="shared" si="30"/>
        <v>0</v>
      </c>
      <c r="R74">
        <f t="shared" si="31"/>
        <v>0</v>
      </c>
      <c r="S74">
        <f t="shared" si="32"/>
        <v>0</v>
      </c>
      <c r="T74">
        <f t="shared" si="33"/>
        <v>1</v>
      </c>
      <c r="U74">
        <f t="shared" si="34"/>
        <v>0</v>
      </c>
      <c r="V74">
        <f t="shared" si="35"/>
        <v>0</v>
      </c>
      <c r="W74" t="str">
        <f>VLOOKUP(A74,[2]!Table2[[NCT Number]:[Intervention type]],11,FALSE)</f>
        <v>Targeted therapy</v>
      </c>
      <c r="X74">
        <f t="shared" si="36"/>
        <v>0</v>
      </c>
      <c r="Y74">
        <f t="shared" si="37"/>
        <v>1</v>
      </c>
      <c r="Z74">
        <f t="shared" si="38"/>
        <v>0</v>
      </c>
      <c r="AA74">
        <f t="shared" si="39"/>
        <v>0</v>
      </c>
      <c r="AB74">
        <f t="shared" si="40"/>
        <v>0</v>
      </c>
      <c r="AC74">
        <f t="shared" si="41"/>
        <v>0</v>
      </c>
      <c r="AD74">
        <f t="shared" si="42"/>
        <v>0</v>
      </c>
      <c r="AE74">
        <f t="shared" si="43"/>
        <v>0</v>
      </c>
      <c r="AF74">
        <f>IF(ISNUMBER(SEARCH("endocrine", W74)), 1, 0)</f>
        <v>0</v>
      </c>
      <c r="AG74" t="s">
        <v>9</v>
      </c>
      <c r="AH74" t="s">
        <v>10</v>
      </c>
      <c r="AI74" t="s">
        <v>263</v>
      </c>
      <c r="AJ74">
        <f t="shared" si="44"/>
        <v>0</v>
      </c>
      <c r="AK74">
        <f t="shared" si="45"/>
        <v>0</v>
      </c>
      <c r="AL74">
        <f t="shared" si="46"/>
        <v>0</v>
      </c>
      <c r="AM74">
        <f t="shared" si="47"/>
        <v>0</v>
      </c>
      <c r="AN74">
        <f t="shared" si="48"/>
        <v>1</v>
      </c>
      <c r="AO74">
        <f t="shared" si="49"/>
        <v>0</v>
      </c>
      <c r="AP74" t="s">
        <v>12</v>
      </c>
      <c r="AQ74">
        <f t="shared" si="50"/>
        <v>1</v>
      </c>
      <c r="AR74">
        <f t="shared" si="51"/>
        <v>0</v>
      </c>
      <c r="AS74">
        <f t="shared" si="52"/>
        <v>0</v>
      </c>
      <c r="AT74">
        <f t="shared" si="53"/>
        <v>0</v>
      </c>
      <c r="AU74">
        <f t="shared" si="54"/>
        <v>0</v>
      </c>
    </row>
    <row r="75" spans="1:47" x14ac:dyDescent="0.2">
      <c r="A75" t="s">
        <v>104</v>
      </c>
      <c r="B75">
        <v>2022</v>
      </c>
      <c r="C75">
        <v>2016</v>
      </c>
      <c r="D75" t="s">
        <v>265</v>
      </c>
      <c r="E75">
        <v>0</v>
      </c>
      <c r="F75">
        <v>1</v>
      </c>
      <c r="G75">
        <v>0</v>
      </c>
      <c r="H75">
        <v>262</v>
      </c>
      <c r="I75">
        <v>0</v>
      </c>
      <c r="J75">
        <f t="shared" si="55"/>
        <v>0</v>
      </c>
      <c r="K75">
        <v>0</v>
      </c>
      <c r="L75">
        <v>262</v>
      </c>
      <c r="M75">
        <v>224</v>
      </c>
      <c r="N75" t="s">
        <v>18</v>
      </c>
      <c r="O75">
        <f t="shared" si="28"/>
        <v>0</v>
      </c>
      <c r="P75">
        <f t="shared" si="29"/>
        <v>0</v>
      </c>
      <c r="Q75">
        <f t="shared" si="30"/>
        <v>0</v>
      </c>
      <c r="R75">
        <f t="shared" si="31"/>
        <v>0</v>
      </c>
      <c r="S75">
        <f t="shared" si="32"/>
        <v>0</v>
      </c>
      <c r="T75">
        <f t="shared" si="33"/>
        <v>0</v>
      </c>
      <c r="U75">
        <f t="shared" si="34"/>
        <v>1</v>
      </c>
      <c r="V75">
        <f t="shared" si="35"/>
        <v>0</v>
      </c>
      <c r="W75" t="str">
        <f>VLOOKUP(A75,[2]!Table2[[NCT Number]:[Intervention type]],11,FALSE)</f>
        <v>immunotherapy</v>
      </c>
      <c r="X75">
        <f t="shared" si="36"/>
        <v>1</v>
      </c>
      <c r="Y75">
        <f t="shared" si="37"/>
        <v>0</v>
      </c>
      <c r="Z75">
        <f t="shared" si="38"/>
        <v>0</v>
      </c>
      <c r="AA75">
        <f t="shared" si="39"/>
        <v>0</v>
      </c>
      <c r="AB75">
        <f t="shared" si="40"/>
        <v>0</v>
      </c>
      <c r="AC75">
        <f t="shared" si="41"/>
        <v>0</v>
      </c>
      <c r="AD75">
        <f t="shared" si="42"/>
        <v>0</v>
      </c>
      <c r="AE75">
        <f t="shared" si="43"/>
        <v>0</v>
      </c>
      <c r="AF75">
        <f>IF(ISNUMBER(SEARCH("endocrine", W75)), 1, 0)</f>
        <v>0</v>
      </c>
      <c r="AG75" t="s">
        <v>15</v>
      </c>
      <c r="AH75" t="s">
        <v>10</v>
      </c>
      <c r="AI75" t="s">
        <v>263</v>
      </c>
      <c r="AJ75">
        <f t="shared" si="44"/>
        <v>0</v>
      </c>
      <c r="AK75">
        <f t="shared" si="45"/>
        <v>0</v>
      </c>
      <c r="AL75">
        <f t="shared" si="46"/>
        <v>0</v>
      </c>
      <c r="AM75">
        <f t="shared" si="47"/>
        <v>0</v>
      </c>
      <c r="AN75">
        <f t="shared" si="48"/>
        <v>1</v>
      </c>
      <c r="AO75">
        <f t="shared" si="49"/>
        <v>0</v>
      </c>
      <c r="AP75" t="s">
        <v>12</v>
      </c>
      <c r="AQ75">
        <f t="shared" si="50"/>
        <v>1</v>
      </c>
      <c r="AR75">
        <f t="shared" si="51"/>
        <v>0</v>
      </c>
      <c r="AS75">
        <f t="shared" si="52"/>
        <v>0</v>
      </c>
      <c r="AT75">
        <f t="shared" si="53"/>
        <v>0</v>
      </c>
      <c r="AU75">
        <f t="shared" si="54"/>
        <v>0</v>
      </c>
    </row>
    <row r="76" spans="1:47" x14ac:dyDescent="0.2">
      <c r="A76" t="s">
        <v>105</v>
      </c>
      <c r="B76">
        <v>2022</v>
      </c>
      <c r="C76">
        <v>2015</v>
      </c>
      <c r="D76" t="s">
        <v>264</v>
      </c>
      <c r="E76">
        <v>1</v>
      </c>
      <c r="F76">
        <v>0</v>
      </c>
      <c r="G76">
        <v>0</v>
      </c>
      <c r="H76">
        <v>266</v>
      </c>
      <c r="I76">
        <v>2</v>
      </c>
      <c r="J76">
        <f t="shared" si="55"/>
        <v>0.75187969924812026</v>
      </c>
      <c r="K76">
        <v>223</v>
      </c>
      <c r="L76">
        <v>41</v>
      </c>
      <c r="M76">
        <v>0</v>
      </c>
      <c r="N76" t="s">
        <v>44</v>
      </c>
      <c r="O76">
        <f t="shared" si="28"/>
        <v>0</v>
      </c>
      <c r="P76">
        <f t="shared" si="29"/>
        <v>1</v>
      </c>
      <c r="Q76">
        <f t="shared" si="30"/>
        <v>0</v>
      </c>
      <c r="R76">
        <f t="shared" si="31"/>
        <v>1</v>
      </c>
      <c r="S76">
        <f t="shared" si="32"/>
        <v>0</v>
      </c>
      <c r="T76">
        <f t="shared" si="33"/>
        <v>0</v>
      </c>
      <c r="U76">
        <f t="shared" si="34"/>
        <v>0</v>
      </c>
      <c r="V76">
        <f t="shared" si="35"/>
        <v>0</v>
      </c>
      <c r="W76" t="str">
        <f>VLOOKUP(A76,[2]!Table2[[NCT Number]:[Intervention type]],11,FALSE)</f>
        <v>Targeted therapy</v>
      </c>
      <c r="X76">
        <f t="shared" si="36"/>
        <v>0</v>
      </c>
      <c r="Y76">
        <f t="shared" si="37"/>
        <v>1</v>
      </c>
      <c r="Z76">
        <f t="shared" si="38"/>
        <v>0</v>
      </c>
      <c r="AA76">
        <f t="shared" si="39"/>
        <v>0</v>
      </c>
      <c r="AB76">
        <f t="shared" si="40"/>
        <v>0</v>
      </c>
      <c r="AC76">
        <f t="shared" si="41"/>
        <v>0</v>
      </c>
      <c r="AD76">
        <f t="shared" si="42"/>
        <v>0</v>
      </c>
      <c r="AE76">
        <f t="shared" si="43"/>
        <v>0</v>
      </c>
      <c r="AF76">
        <f>IF(ISNUMBER(SEARCH("endocrine", W76)), 1, 0)</f>
        <v>0</v>
      </c>
      <c r="AG76" t="s">
        <v>15</v>
      </c>
      <c r="AH76" t="s">
        <v>10</v>
      </c>
      <c r="AI76" t="s">
        <v>42</v>
      </c>
      <c r="AJ76">
        <f t="shared" si="44"/>
        <v>0</v>
      </c>
      <c r="AK76">
        <f t="shared" si="45"/>
        <v>0</v>
      </c>
      <c r="AL76">
        <f t="shared" si="46"/>
        <v>1</v>
      </c>
      <c r="AM76">
        <f t="shared" si="47"/>
        <v>0</v>
      </c>
      <c r="AN76">
        <f t="shared" si="48"/>
        <v>0</v>
      </c>
      <c r="AO76">
        <f t="shared" si="49"/>
        <v>0</v>
      </c>
      <c r="AP76" t="s">
        <v>8</v>
      </c>
      <c r="AQ76">
        <f t="shared" si="50"/>
        <v>0</v>
      </c>
      <c r="AR76">
        <f t="shared" si="51"/>
        <v>0</v>
      </c>
      <c r="AS76">
        <f t="shared" si="52"/>
        <v>0</v>
      </c>
      <c r="AT76">
        <f t="shared" si="53"/>
        <v>0</v>
      </c>
      <c r="AU76">
        <f t="shared" si="54"/>
        <v>1</v>
      </c>
    </row>
    <row r="77" spans="1:47" x14ac:dyDescent="0.2">
      <c r="A77" t="s">
        <v>106</v>
      </c>
      <c r="B77">
        <v>2021</v>
      </c>
      <c r="C77">
        <v>2016</v>
      </c>
      <c r="D77" t="s">
        <v>265</v>
      </c>
      <c r="E77">
        <v>0</v>
      </c>
      <c r="F77">
        <v>1</v>
      </c>
      <c r="G77">
        <v>0</v>
      </c>
      <c r="H77">
        <v>275</v>
      </c>
      <c r="I77">
        <v>2</v>
      </c>
      <c r="J77">
        <f t="shared" si="55"/>
        <v>0.72727272727272729</v>
      </c>
      <c r="K77">
        <v>162</v>
      </c>
      <c r="L77">
        <v>111</v>
      </c>
      <c r="M77">
        <v>125</v>
      </c>
      <c r="N77" t="s">
        <v>18</v>
      </c>
      <c r="O77">
        <f t="shared" si="28"/>
        <v>0</v>
      </c>
      <c r="P77">
        <f t="shared" si="29"/>
        <v>0</v>
      </c>
      <c r="Q77">
        <f t="shared" si="30"/>
        <v>0</v>
      </c>
      <c r="R77">
        <f t="shared" si="31"/>
        <v>0</v>
      </c>
      <c r="S77">
        <f t="shared" si="32"/>
        <v>0</v>
      </c>
      <c r="T77">
        <f t="shared" si="33"/>
        <v>0</v>
      </c>
      <c r="U77">
        <f t="shared" si="34"/>
        <v>1</v>
      </c>
      <c r="V77">
        <f t="shared" si="35"/>
        <v>0</v>
      </c>
      <c r="W77" t="str">
        <f>VLOOKUP(A77,[2]!Table2[[NCT Number]:[Intervention type]],11,FALSE)</f>
        <v>Targeted therapy</v>
      </c>
      <c r="X77">
        <f t="shared" si="36"/>
        <v>0</v>
      </c>
      <c r="Y77">
        <f t="shared" si="37"/>
        <v>1</v>
      </c>
      <c r="Z77">
        <f t="shared" si="38"/>
        <v>0</v>
      </c>
      <c r="AA77">
        <f t="shared" si="39"/>
        <v>0</v>
      </c>
      <c r="AB77">
        <f t="shared" si="40"/>
        <v>0</v>
      </c>
      <c r="AC77">
        <f t="shared" si="41"/>
        <v>0</v>
      </c>
      <c r="AD77">
        <f t="shared" si="42"/>
        <v>0</v>
      </c>
      <c r="AE77">
        <f t="shared" si="43"/>
        <v>0</v>
      </c>
      <c r="AF77">
        <f>IF(ISNUMBER(SEARCH("endocrine", W77)), 1, 0)</f>
        <v>0</v>
      </c>
      <c r="AG77" t="s">
        <v>15</v>
      </c>
      <c r="AH77" t="s">
        <v>10</v>
      </c>
      <c r="AI77" t="s">
        <v>42</v>
      </c>
      <c r="AJ77">
        <f t="shared" si="44"/>
        <v>0</v>
      </c>
      <c r="AK77">
        <f t="shared" si="45"/>
        <v>0</v>
      </c>
      <c r="AL77">
        <f t="shared" si="46"/>
        <v>1</v>
      </c>
      <c r="AM77">
        <f t="shared" si="47"/>
        <v>0</v>
      </c>
      <c r="AN77">
        <f t="shared" si="48"/>
        <v>0</v>
      </c>
      <c r="AO77">
        <f t="shared" si="49"/>
        <v>0</v>
      </c>
      <c r="AP77" t="s">
        <v>8</v>
      </c>
      <c r="AQ77">
        <f t="shared" si="50"/>
        <v>0</v>
      </c>
      <c r="AR77">
        <f t="shared" si="51"/>
        <v>0</v>
      </c>
      <c r="AS77">
        <f t="shared" si="52"/>
        <v>0</v>
      </c>
      <c r="AT77">
        <f t="shared" si="53"/>
        <v>0</v>
      </c>
      <c r="AU77">
        <f t="shared" si="54"/>
        <v>1</v>
      </c>
    </row>
    <row r="78" spans="1:47" x14ac:dyDescent="0.2">
      <c r="A78" t="s">
        <v>107</v>
      </c>
      <c r="B78">
        <v>2022</v>
      </c>
      <c r="C78">
        <v>2018</v>
      </c>
      <c r="D78" t="s">
        <v>265</v>
      </c>
      <c r="E78">
        <v>0</v>
      </c>
      <c r="F78">
        <v>1</v>
      </c>
      <c r="G78">
        <v>0</v>
      </c>
      <c r="H78">
        <v>279</v>
      </c>
      <c r="I78">
        <v>1</v>
      </c>
      <c r="J78">
        <f t="shared" si="55"/>
        <v>0.35842293906810035</v>
      </c>
      <c r="K78">
        <v>273</v>
      </c>
      <c r="L78">
        <v>5</v>
      </c>
      <c r="M78">
        <v>0</v>
      </c>
      <c r="N78" t="s">
        <v>44</v>
      </c>
      <c r="O78">
        <f t="shared" si="28"/>
        <v>0</v>
      </c>
      <c r="P78">
        <f t="shared" si="29"/>
        <v>1</v>
      </c>
      <c r="Q78">
        <f t="shared" si="30"/>
        <v>0</v>
      </c>
      <c r="R78">
        <f t="shared" si="31"/>
        <v>1</v>
      </c>
      <c r="S78">
        <f t="shared" si="32"/>
        <v>0</v>
      </c>
      <c r="T78">
        <f t="shared" si="33"/>
        <v>0</v>
      </c>
      <c r="U78">
        <f t="shared" si="34"/>
        <v>0</v>
      </c>
      <c r="V78">
        <f t="shared" si="35"/>
        <v>0</v>
      </c>
      <c r="W78" t="str">
        <f>VLOOKUP(A78,[2]!Table2[[NCT Number]:[Intervention type]],11,FALSE)</f>
        <v>Targeted therapy</v>
      </c>
      <c r="X78">
        <f t="shared" si="36"/>
        <v>0</v>
      </c>
      <c r="Y78">
        <f t="shared" si="37"/>
        <v>1</v>
      </c>
      <c r="Z78">
        <f t="shared" si="38"/>
        <v>0</v>
      </c>
      <c r="AA78">
        <f t="shared" si="39"/>
        <v>0</v>
      </c>
      <c r="AB78">
        <f t="shared" si="40"/>
        <v>0</v>
      </c>
      <c r="AC78">
        <f t="shared" si="41"/>
        <v>0</v>
      </c>
      <c r="AD78">
        <f t="shared" si="42"/>
        <v>0</v>
      </c>
      <c r="AE78">
        <f t="shared" si="43"/>
        <v>0</v>
      </c>
      <c r="AF78">
        <f>IF(ISNUMBER(SEARCH("endocrine", W78)), 1, 0)</f>
        <v>0</v>
      </c>
      <c r="AG78" t="s">
        <v>15</v>
      </c>
      <c r="AH78" t="s">
        <v>10</v>
      </c>
      <c r="AI78" t="s">
        <v>11</v>
      </c>
      <c r="AJ78">
        <f t="shared" si="44"/>
        <v>0</v>
      </c>
      <c r="AK78">
        <f t="shared" si="45"/>
        <v>1</v>
      </c>
      <c r="AL78">
        <f t="shared" si="46"/>
        <v>0</v>
      </c>
      <c r="AM78">
        <f t="shared" si="47"/>
        <v>0</v>
      </c>
      <c r="AN78">
        <f t="shared" si="48"/>
        <v>0</v>
      </c>
      <c r="AO78">
        <f t="shared" si="49"/>
        <v>0</v>
      </c>
      <c r="AP78" t="s">
        <v>12</v>
      </c>
      <c r="AQ78">
        <f t="shared" si="50"/>
        <v>1</v>
      </c>
      <c r="AR78">
        <f t="shared" si="51"/>
        <v>0</v>
      </c>
      <c r="AS78">
        <f t="shared" si="52"/>
        <v>0</v>
      </c>
      <c r="AT78">
        <f t="shared" si="53"/>
        <v>0</v>
      </c>
      <c r="AU78">
        <f t="shared" si="54"/>
        <v>0</v>
      </c>
    </row>
    <row r="79" spans="1:47" x14ac:dyDescent="0.2">
      <c r="A79" t="s">
        <v>108</v>
      </c>
      <c r="B79">
        <v>2023</v>
      </c>
      <c r="C79">
        <v>2017</v>
      </c>
      <c r="D79" t="s">
        <v>265</v>
      </c>
      <c r="E79">
        <v>0</v>
      </c>
      <c r="F79">
        <v>1</v>
      </c>
      <c r="G79">
        <v>0</v>
      </c>
      <c r="H79">
        <v>280</v>
      </c>
      <c r="I79">
        <v>0</v>
      </c>
      <c r="J79">
        <f t="shared" si="55"/>
        <v>0</v>
      </c>
      <c r="K79">
        <v>0</v>
      </c>
      <c r="L79">
        <v>280</v>
      </c>
      <c r="M79">
        <v>258</v>
      </c>
      <c r="N79" t="s">
        <v>18</v>
      </c>
      <c r="O79">
        <f t="shared" si="28"/>
        <v>0</v>
      </c>
      <c r="P79">
        <f t="shared" si="29"/>
        <v>0</v>
      </c>
      <c r="Q79">
        <f t="shared" si="30"/>
        <v>0</v>
      </c>
      <c r="R79">
        <f t="shared" si="31"/>
        <v>0</v>
      </c>
      <c r="S79">
        <f t="shared" si="32"/>
        <v>0</v>
      </c>
      <c r="T79">
        <f t="shared" si="33"/>
        <v>0</v>
      </c>
      <c r="U79">
        <f t="shared" si="34"/>
        <v>1</v>
      </c>
      <c r="V79">
        <f t="shared" si="35"/>
        <v>0</v>
      </c>
      <c r="W79" t="str">
        <f>VLOOKUP(A79,[2]!Table2[[NCT Number]:[Intervention type]],11,FALSE)</f>
        <v>immunotherapy+chemo</v>
      </c>
      <c r="X79">
        <f t="shared" si="36"/>
        <v>1</v>
      </c>
      <c r="Y79">
        <f t="shared" si="37"/>
        <v>0</v>
      </c>
      <c r="Z79">
        <f t="shared" si="38"/>
        <v>0</v>
      </c>
      <c r="AA79">
        <f t="shared" si="39"/>
        <v>0</v>
      </c>
      <c r="AB79">
        <f t="shared" si="40"/>
        <v>0</v>
      </c>
      <c r="AC79">
        <f t="shared" si="41"/>
        <v>0</v>
      </c>
      <c r="AD79">
        <f t="shared" si="42"/>
        <v>0</v>
      </c>
      <c r="AE79">
        <f t="shared" si="43"/>
        <v>1</v>
      </c>
      <c r="AF79">
        <f>IF(ISNUMBER(SEARCH("endocrine", W79)), 1, 0)</f>
        <v>0</v>
      </c>
      <c r="AG79" t="s">
        <v>9</v>
      </c>
      <c r="AH79" t="s">
        <v>10</v>
      </c>
      <c r="AI79" t="s">
        <v>263</v>
      </c>
      <c r="AJ79">
        <f t="shared" si="44"/>
        <v>0</v>
      </c>
      <c r="AK79">
        <f t="shared" si="45"/>
        <v>0</v>
      </c>
      <c r="AL79">
        <f t="shared" si="46"/>
        <v>0</v>
      </c>
      <c r="AM79">
        <f t="shared" si="47"/>
        <v>0</v>
      </c>
      <c r="AN79">
        <f t="shared" si="48"/>
        <v>1</v>
      </c>
      <c r="AO79">
        <f t="shared" si="49"/>
        <v>0</v>
      </c>
      <c r="AP79" t="s">
        <v>12</v>
      </c>
      <c r="AQ79">
        <f t="shared" si="50"/>
        <v>1</v>
      </c>
      <c r="AR79">
        <f t="shared" si="51"/>
        <v>0</v>
      </c>
      <c r="AS79">
        <f t="shared" si="52"/>
        <v>0</v>
      </c>
      <c r="AT79">
        <f t="shared" si="53"/>
        <v>0</v>
      </c>
      <c r="AU79">
        <f t="shared" si="54"/>
        <v>0</v>
      </c>
    </row>
    <row r="80" spans="1:47" x14ac:dyDescent="0.2">
      <c r="A80" t="s">
        <v>109</v>
      </c>
      <c r="B80">
        <v>2023</v>
      </c>
      <c r="C80">
        <v>2016</v>
      </c>
      <c r="D80" t="s">
        <v>265</v>
      </c>
      <c r="E80">
        <v>0</v>
      </c>
      <c r="F80">
        <v>1</v>
      </c>
      <c r="G80">
        <v>0</v>
      </c>
      <c r="H80">
        <v>291</v>
      </c>
      <c r="I80">
        <v>12</v>
      </c>
      <c r="J80">
        <f t="shared" si="55"/>
        <v>4.1237113402061851</v>
      </c>
      <c r="K80">
        <v>190</v>
      </c>
      <c r="L80">
        <v>89</v>
      </c>
      <c r="M80">
        <v>152</v>
      </c>
      <c r="N80" t="s">
        <v>6</v>
      </c>
      <c r="O80">
        <f t="shared" si="28"/>
        <v>0</v>
      </c>
      <c r="P80">
        <f t="shared" si="29"/>
        <v>1</v>
      </c>
      <c r="Q80">
        <f t="shared" si="30"/>
        <v>0</v>
      </c>
      <c r="R80">
        <f t="shared" si="31"/>
        <v>0</v>
      </c>
      <c r="S80">
        <f t="shared" si="32"/>
        <v>0</v>
      </c>
      <c r="T80">
        <f t="shared" si="33"/>
        <v>1</v>
      </c>
      <c r="U80">
        <f t="shared" si="34"/>
        <v>0</v>
      </c>
      <c r="V80">
        <f t="shared" si="35"/>
        <v>0</v>
      </c>
      <c r="W80" t="str">
        <f>VLOOKUP(A80,[2]!Table2[[NCT Number]:[Intervention type]],11,FALSE)</f>
        <v>Targeted therapy</v>
      </c>
      <c r="X80">
        <f t="shared" si="36"/>
        <v>0</v>
      </c>
      <c r="Y80">
        <f t="shared" si="37"/>
        <v>1</v>
      </c>
      <c r="Z80">
        <f t="shared" si="38"/>
        <v>0</v>
      </c>
      <c r="AA80">
        <f t="shared" si="39"/>
        <v>0</v>
      </c>
      <c r="AB80">
        <f t="shared" si="40"/>
        <v>0</v>
      </c>
      <c r="AC80">
        <f t="shared" si="41"/>
        <v>0</v>
      </c>
      <c r="AD80">
        <f t="shared" si="42"/>
        <v>0</v>
      </c>
      <c r="AE80">
        <f t="shared" si="43"/>
        <v>0</v>
      </c>
      <c r="AF80">
        <f>IF(ISNUMBER(SEARCH("endocrine", W80)), 1, 0)</f>
        <v>0</v>
      </c>
      <c r="AG80" t="s">
        <v>9</v>
      </c>
      <c r="AH80" t="s">
        <v>10</v>
      </c>
      <c r="AI80" t="s">
        <v>11</v>
      </c>
      <c r="AJ80">
        <f t="shared" si="44"/>
        <v>0</v>
      </c>
      <c r="AK80">
        <f t="shared" si="45"/>
        <v>1</v>
      </c>
      <c r="AL80">
        <f t="shared" si="46"/>
        <v>0</v>
      </c>
      <c r="AM80">
        <f t="shared" si="47"/>
        <v>0</v>
      </c>
      <c r="AN80">
        <f t="shared" si="48"/>
        <v>0</v>
      </c>
      <c r="AO80">
        <f t="shared" si="49"/>
        <v>0</v>
      </c>
      <c r="AP80" t="s">
        <v>12</v>
      </c>
      <c r="AQ80">
        <f t="shared" si="50"/>
        <v>1</v>
      </c>
      <c r="AR80">
        <f t="shared" si="51"/>
        <v>0</v>
      </c>
      <c r="AS80">
        <f t="shared" si="52"/>
        <v>0</v>
      </c>
      <c r="AT80">
        <f t="shared" si="53"/>
        <v>0</v>
      </c>
      <c r="AU80">
        <f t="shared" si="54"/>
        <v>0</v>
      </c>
    </row>
    <row r="81" spans="1:47" x14ac:dyDescent="0.2">
      <c r="A81" t="s">
        <v>110</v>
      </c>
      <c r="B81">
        <v>2023</v>
      </c>
      <c r="C81">
        <v>2017</v>
      </c>
      <c r="D81" t="s">
        <v>265</v>
      </c>
      <c r="E81">
        <v>0</v>
      </c>
      <c r="F81">
        <v>1</v>
      </c>
      <c r="G81">
        <v>0</v>
      </c>
      <c r="H81">
        <v>302</v>
      </c>
      <c r="I81">
        <v>9</v>
      </c>
      <c r="J81">
        <f t="shared" si="55"/>
        <v>2.9801324503311259</v>
      </c>
      <c r="K81">
        <v>185</v>
      </c>
      <c r="L81">
        <v>108</v>
      </c>
      <c r="M81">
        <v>164</v>
      </c>
      <c r="N81" t="s">
        <v>6</v>
      </c>
      <c r="O81">
        <f t="shared" si="28"/>
        <v>0</v>
      </c>
      <c r="P81">
        <f t="shared" si="29"/>
        <v>1</v>
      </c>
      <c r="Q81">
        <f t="shared" si="30"/>
        <v>0</v>
      </c>
      <c r="R81">
        <f t="shared" si="31"/>
        <v>0</v>
      </c>
      <c r="S81">
        <f t="shared" si="32"/>
        <v>0</v>
      </c>
      <c r="T81">
        <f t="shared" si="33"/>
        <v>1</v>
      </c>
      <c r="U81">
        <f t="shared" si="34"/>
        <v>0</v>
      </c>
      <c r="V81">
        <f t="shared" si="35"/>
        <v>0</v>
      </c>
      <c r="W81" t="str">
        <f>VLOOKUP(A81,[2]!Table2[[NCT Number]:[Intervention type]],11,FALSE)</f>
        <v>Targeted therapy</v>
      </c>
      <c r="X81">
        <f t="shared" si="36"/>
        <v>0</v>
      </c>
      <c r="Y81">
        <f t="shared" si="37"/>
        <v>1</v>
      </c>
      <c r="Z81">
        <f t="shared" si="38"/>
        <v>0</v>
      </c>
      <c r="AA81">
        <f t="shared" si="39"/>
        <v>0</v>
      </c>
      <c r="AB81">
        <f t="shared" si="40"/>
        <v>0</v>
      </c>
      <c r="AC81">
        <f t="shared" si="41"/>
        <v>0</v>
      </c>
      <c r="AD81">
        <f t="shared" si="42"/>
        <v>0</v>
      </c>
      <c r="AE81">
        <f t="shared" si="43"/>
        <v>0</v>
      </c>
      <c r="AF81">
        <f>IF(ISNUMBER(SEARCH("endocrine", W81)), 1, 0)</f>
        <v>0</v>
      </c>
      <c r="AG81" t="s">
        <v>15</v>
      </c>
      <c r="AH81" t="s">
        <v>10</v>
      </c>
      <c r="AI81" t="s">
        <v>11</v>
      </c>
      <c r="AJ81">
        <f t="shared" si="44"/>
        <v>0</v>
      </c>
      <c r="AK81">
        <f t="shared" si="45"/>
        <v>1</v>
      </c>
      <c r="AL81">
        <f t="shared" si="46"/>
        <v>0</v>
      </c>
      <c r="AM81">
        <f t="shared" si="47"/>
        <v>0</v>
      </c>
      <c r="AN81">
        <f t="shared" si="48"/>
        <v>0</v>
      </c>
      <c r="AO81">
        <f t="shared" si="49"/>
        <v>0</v>
      </c>
      <c r="AP81" t="s">
        <v>86</v>
      </c>
      <c r="AQ81">
        <f t="shared" si="50"/>
        <v>0</v>
      </c>
      <c r="AR81">
        <f t="shared" si="51"/>
        <v>0</v>
      </c>
      <c r="AS81">
        <f t="shared" si="52"/>
        <v>0</v>
      </c>
      <c r="AT81">
        <f t="shared" si="53"/>
        <v>1</v>
      </c>
      <c r="AU81">
        <f t="shared" si="54"/>
        <v>0</v>
      </c>
    </row>
    <row r="82" spans="1:47" x14ac:dyDescent="0.2">
      <c r="A82" t="s">
        <v>111</v>
      </c>
      <c r="B82">
        <v>2016</v>
      </c>
      <c r="C82">
        <v>2014</v>
      </c>
      <c r="D82" t="s">
        <v>264</v>
      </c>
      <c r="E82">
        <v>1</v>
      </c>
      <c r="F82">
        <v>0</v>
      </c>
      <c r="G82">
        <v>0</v>
      </c>
      <c r="H82">
        <v>305</v>
      </c>
      <c r="I82">
        <v>4</v>
      </c>
      <c r="J82">
        <f t="shared" si="55"/>
        <v>1.3114754098360655</v>
      </c>
      <c r="K82">
        <v>251</v>
      </c>
      <c r="L82">
        <v>50</v>
      </c>
      <c r="M82">
        <v>187</v>
      </c>
      <c r="N82" t="s">
        <v>18</v>
      </c>
      <c r="O82">
        <f t="shared" si="28"/>
        <v>0</v>
      </c>
      <c r="P82">
        <f t="shared" si="29"/>
        <v>0</v>
      </c>
      <c r="Q82">
        <f t="shared" si="30"/>
        <v>0</v>
      </c>
      <c r="R82">
        <f t="shared" si="31"/>
        <v>0</v>
      </c>
      <c r="S82">
        <f t="shared" si="32"/>
        <v>0</v>
      </c>
      <c r="T82">
        <f t="shared" si="33"/>
        <v>0</v>
      </c>
      <c r="U82">
        <f t="shared" si="34"/>
        <v>1</v>
      </c>
      <c r="V82">
        <f t="shared" si="35"/>
        <v>0</v>
      </c>
      <c r="W82" t="str">
        <f>VLOOKUP(A82,[2]!Table2[[NCT Number]:[Intervention type]],11,FALSE)</f>
        <v>immunotherapy</v>
      </c>
      <c r="X82">
        <f t="shared" si="36"/>
        <v>1</v>
      </c>
      <c r="Y82">
        <f t="shared" si="37"/>
        <v>0</v>
      </c>
      <c r="Z82">
        <f t="shared" si="38"/>
        <v>0</v>
      </c>
      <c r="AA82">
        <f t="shared" si="39"/>
        <v>0</v>
      </c>
      <c r="AB82">
        <f t="shared" si="40"/>
        <v>0</v>
      </c>
      <c r="AC82">
        <f t="shared" si="41"/>
        <v>0</v>
      </c>
      <c r="AD82">
        <f t="shared" si="42"/>
        <v>0</v>
      </c>
      <c r="AE82">
        <f t="shared" si="43"/>
        <v>0</v>
      </c>
      <c r="AF82">
        <f>IF(ISNUMBER(SEARCH("endocrine", W82)), 1, 0)</f>
        <v>0</v>
      </c>
      <c r="AG82" t="s">
        <v>15</v>
      </c>
      <c r="AH82" t="s">
        <v>10</v>
      </c>
      <c r="AI82" t="s">
        <v>263</v>
      </c>
      <c r="AJ82">
        <f t="shared" si="44"/>
        <v>0</v>
      </c>
      <c r="AK82">
        <f t="shared" si="45"/>
        <v>0</v>
      </c>
      <c r="AL82">
        <f t="shared" si="46"/>
        <v>0</v>
      </c>
      <c r="AM82">
        <f t="shared" si="47"/>
        <v>0</v>
      </c>
      <c r="AN82">
        <f t="shared" si="48"/>
        <v>1</v>
      </c>
      <c r="AO82">
        <f t="shared" si="49"/>
        <v>0</v>
      </c>
      <c r="AP82" t="s">
        <v>12</v>
      </c>
      <c r="AQ82">
        <f t="shared" si="50"/>
        <v>1</v>
      </c>
      <c r="AR82">
        <f t="shared" si="51"/>
        <v>0</v>
      </c>
      <c r="AS82">
        <f t="shared" si="52"/>
        <v>0</v>
      </c>
      <c r="AT82">
        <f t="shared" si="53"/>
        <v>0</v>
      </c>
      <c r="AU82">
        <f t="shared" si="54"/>
        <v>0</v>
      </c>
    </row>
    <row r="83" spans="1:47" x14ac:dyDescent="0.2">
      <c r="A83" t="s">
        <v>112</v>
      </c>
      <c r="B83">
        <v>2023</v>
      </c>
      <c r="C83">
        <v>2015</v>
      </c>
      <c r="D83" t="s">
        <v>264</v>
      </c>
      <c r="E83">
        <v>1</v>
      </c>
      <c r="F83">
        <v>0</v>
      </c>
      <c r="G83">
        <v>0</v>
      </c>
      <c r="H83">
        <v>307</v>
      </c>
      <c r="I83">
        <v>14</v>
      </c>
      <c r="J83">
        <f t="shared" si="55"/>
        <v>4.5602605863192185</v>
      </c>
      <c r="K83">
        <v>229</v>
      </c>
      <c r="L83">
        <v>64</v>
      </c>
      <c r="M83">
        <v>153</v>
      </c>
      <c r="N83" t="s">
        <v>56</v>
      </c>
      <c r="O83">
        <f t="shared" si="28"/>
        <v>0</v>
      </c>
      <c r="P83">
        <f t="shared" si="29"/>
        <v>1</v>
      </c>
      <c r="Q83">
        <f t="shared" si="30"/>
        <v>0</v>
      </c>
      <c r="R83">
        <f t="shared" si="31"/>
        <v>0</v>
      </c>
      <c r="S83">
        <f t="shared" si="32"/>
        <v>0</v>
      </c>
      <c r="T83">
        <f t="shared" si="33"/>
        <v>0</v>
      </c>
      <c r="U83">
        <f t="shared" si="34"/>
        <v>0</v>
      </c>
      <c r="V83">
        <f t="shared" si="35"/>
        <v>0</v>
      </c>
      <c r="W83" t="str">
        <f>VLOOKUP(A83,[2]!Table2[[NCT Number]:[Intervention type]],11,FALSE)</f>
        <v>immunotherapy</v>
      </c>
      <c r="X83">
        <f t="shared" si="36"/>
        <v>1</v>
      </c>
      <c r="Y83">
        <f t="shared" si="37"/>
        <v>0</v>
      </c>
      <c r="Z83">
        <f t="shared" si="38"/>
        <v>0</v>
      </c>
      <c r="AA83">
        <f t="shared" si="39"/>
        <v>0</v>
      </c>
      <c r="AB83">
        <f t="shared" si="40"/>
        <v>0</v>
      </c>
      <c r="AC83">
        <f t="shared" si="41"/>
        <v>0</v>
      </c>
      <c r="AD83">
        <f t="shared" si="42"/>
        <v>0</v>
      </c>
      <c r="AE83">
        <f t="shared" si="43"/>
        <v>0</v>
      </c>
      <c r="AF83">
        <f>IF(ISNUMBER(SEARCH("endocrine", W83)), 1, 0)</f>
        <v>0</v>
      </c>
      <c r="AG83" t="s">
        <v>15</v>
      </c>
      <c r="AH83" t="s">
        <v>10</v>
      </c>
      <c r="AI83" t="s">
        <v>263</v>
      </c>
      <c r="AJ83">
        <f t="shared" si="44"/>
        <v>0</v>
      </c>
      <c r="AK83">
        <f t="shared" si="45"/>
        <v>0</v>
      </c>
      <c r="AL83">
        <f t="shared" si="46"/>
        <v>0</v>
      </c>
      <c r="AM83">
        <f t="shared" si="47"/>
        <v>0</v>
      </c>
      <c r="AN83">
        <f t="shared" si="48"/>
        <v>1</v>
      </c>
      <c r="AO83">
        <f t="shared" si="49"/>
        <v>0</v>
      </c>
      <c r="AP83" t="s">
        <v>39</v>
      </c>
      <c r="AQ83">
        <f t="shared" si="50"/>
        <v>0</v>
      </c>
      <c r="AR83">
        <f t="shared" si="51"/>
        <v>0</v>
      </c>
      <c r="AS83">
        <f t="shared" si="52"/>
        <v>1</v>
      </c>
      <c r="AT83">
        <f t="shared" si="53"/>
        <v>0</v>
      </c>
      <c r="AU83">
        <f t="shared" si="54"/>
        <v>0</v>
      </c>
    </row>
    <row r="84" spans="1:47" x14ac:dyDescent="0.2">
      <c r="A84" t="s">
        <v>113</v>
      </c>
      <c r="B84">
        <v>2023</v>
      </c>
      <c r="C84">
        <v>2019</v>
      </c>
      <c r="D84" t="s">
        <v>266</v>
      </c>
      <c r="E84">
        <v>0</v>
      </c>
      <c r="F84">
        <v>0</v>
      </c>
      <c r="G84">
        <v>1</v>
      </c>
      <c r="H84">
        <v>309</v>
      </c>
      <c r="I84">
        <v>1</v>
      </c>
      <c r="J84">
        <f t="shared" si="55"/>
        <v>0.32362459546925565</v>
      </c>
      <c r="K84">
        <v>108</v>
      </c>
      <c r="L84">
        <v>200</v>
      </c>
      <c r="M84">
        <v>158</v>
      </c>
      <c r="N84" t="s">
        <v>56</v>
      </c>
      <c r="O84">
        <f t="shared" si="28"/>
        <v>0</v>
      </c>
      <c r="P84">
        <f t="shared" si="29"/>
        <v>1</v>
      </c>
      <c r="Q84">
        <f t="shared" si="30"/>
        <v>0</v>
      </c>
      <c r="R84">
        <f t="shared" si="31"/>
        <v>0</v>
      </c>
      <c r="S84">
        <f t="shared" si="32"/>
        <v>0</v>
      </c>
      <c r="T84">
        <f t="shared" si="33"/>
        <v>0</v>
      </c>
      <c r="U84">
        <f t="shared" si="34"/>
        <v>0</v>
      </c>
      <c r="V84">
        <f t="shared" si="35"/>
        <v>0</v>
      </c>
      <c r="W84" t="str">
        <f>VLOOKUP(A84,[2]!Table2[[NCT Number]:[Intervention type]],11,FALSE)</f>
        <v>Targeted therapy+chemo</v>
      </c>
      <c r="X84">
        <f t="shared" si="36"/>
        <v>0</v>
      </c>
      <c r="Y84">
        <f t="shared" si="37"/>
        <v>1</v>
      </c>
      <c r="Z84">
        <f t="shared" si="38"/>
        <v>0</v>
      </c>
      <c r="AA84">
        <f t="shared" si="39"/>
        <v>0</v>
      </c>
      <c r="AB84">
        <f t="shared" si="40"/>
        <v>0</v>
      </c>
      <c r="AC84">
        <f t="shared" si="41"/>
        <v>0</v>
      </c>
      <c r="AD84">
        <f t="shared" si="42"/>
        <v>1</v>
      </c>
      <c r="AE84">
        <f t="shared" si="43"/>
        <v>0</v>
      </c>
      <c r="AF84">
        <f>IF(ISNUMBER(SEARCH("endocrine", W84)), 1, 0)</f>
        <v>0</v>
      </c>
      <c r="AG84" t="s">
        <v>9</v>
      </c>
      <c r="AH84" t="s">
        <v>10</v>
      </c>
      <c r="AI84" t="s">
        <v>11</v>
      </c>
      <c r="AJ84">
        <f t="shared" si="44"/>
        <v>0</v>
      </c>
      <c r="AK84">
        <f t="shared" si="45"/>
        <v>1</v>
      </c>
      <c r="AL84">
        <f t="shared" si="46"/>
        <v>0</v>
      </c>
      <c r="AM84">
        <f t="shared" si="47"/>
        <v>0</v>
      </c>
      <c r="AN84">
        <f t="shared" si="48"/>
        <v>0</v>
      </c>
      <c r="AO84">
        <f t="shared" si="49"/>
        <v>0</v>
      </c>
      <c r="AP84" t="s">
        <v>12</v>
      </c>
      <c r="AQ84">
        <f t="shared" si="50"/>
        <v>1</v>
      </c>
      <c r="AR84">
        <f t="shared" si="51"/>
        <v>0</v>
      </c>
      <c r="AS84">
        <f t="shared" si="52"/>
        <v>0</v>
      </c>
      <c r="AT84">
        <f t="shared" si="53"/>
        <v>0</v>
      </c>
      <c r="AU84">
        <f t="shared" si="54"/>
        <v>0</v>
      </c>
    </row>
    <row r="85" spans="1:47" x14ac:dyDescent="0.2">
      <c r="A85" t="s">
        <v>114</v>
      </c>
      <c r="B85">
        <v>2020</v>
      </c>
      <c r="C85">
        <v>2017</v>
      </c>
      <c r="D85" t="s">
        <v>265</v>
      </c>
      <c r="E85">
        <v>0</v>
      </c>
      <c r="F85">
        <v>1</v>
      </c>
      <c r="G85">
        <v>0</v>
      </c>
      <c r="H85">
        <v>315</v>
      </c>
      <c r="I85">
        <v>2</v>
      </c>
      <c r="J85">
        <f t="shared" si="55"/>
        <v>0.63492063492063489</v>
      </c>
      <c r="K85">
        <v>226</v>
      </c>
      <c r="L85">
        <v>87</v>
      </c>
      <c r="M85">
        <v>141</v>
      </c>
      <c r="N85" t="s">
        <v>6</v>
      </c>
      <c r="O85">
        <f t="shared" si="28"/>
        <v>0</v>
      </c>
      <c r="P85">
        <f t="shared" si="29"/>
        <v>1</v>
      </c>
      <c r="Q85">
        <f t="shared" si="30"/>
        <v>0</v>
      </c>
      <c r="R85">
        <f t="shared" si="31"/>
        <v>0</v>
      </c>
      <c r="S85">
        <f t="shared" si="32"/>
        <v>0</v>
      </c>
      <c r="T85">
        <f t="shared" si="33"/>
        <v>1</v>
      </c>
      <c r="U85">
        <f t="shared" si="34"/>
        <v>0</v>
      </c>
      <c r="V85">
        <f t="shared" si="35"/>
        <v>0</v>
      </c>
      <c r="W85" t="str">
        <f>VLOOKUP(A85,[2]!Table2[[NCT Number]:[Intervention type]],11,FALSE)</f>
        <v>Targeted therapy</v>
      </c>
      <c r="X85">
        <f t="shared" si="36"/>
        <v>0</v>
      </c>
      <c r="Y85">
        <f t="shared" si="37"/>
        <v>1</v>
      </c>
      <c r="Z85">
        <f t="shared" si="38"/>
        <v>0</v>
      </c>
      <c r="AA85">
        <f t="shared" si="39"/>
        <v>0</v>
      </c>
      <c r="AB85">
        <f t="shared" si="40"/>
        <v>0</v>
      </c>
      <c r="AC85">
        <f t="shared" si="41"/>
        <v>0</v>
      </c>
      <c r="AD85">
        <f t="shared" si="42"/>
        <v>0</v>
      </c>
      <c r="AE85">
        <f t="shared" si="43"/>
        <v>0</v>
      </c>
      <c r="AF85">
        <f>IF(ISNUMBER(SEARCH("endocrine", W85)), 1, 0)</f>
        <v>0</v>
      </c>
      <c r="AG85" t="s">
        <v>15</v>
      </c>
      <c r="AH85" t="s">
        <v>10</v>
      </c>
      <c r="AI85" t="s">
        <v>11</v>
      </c>
      <c r="AJ85">
        <f t="shared" si="44"/>
        <v>0</v>
      </c>
      <c r="AK85">
        <f t="shared" si="45"/>
        <v>1</v>
      </c>
      <c r="AL85">
        <f t="shared" si="46"/>
        <v>0</v>
      </c>
      <c r="AM85">
        <f t="shared" si="47"/>
        <v>0</v>
      </c>
      <c r="AN85">
        <f t="shared" si="48"/>
        <v>0</v>
      </c>
      <c r="AO85">
        <f t="shared" si="49"/>
        <v>0</v>
      </c>
      <c r="AP85" t="s">
        <v>12</v>
      </c>
      <c r="AQ85">
        <f t="shared" si="50"/>
        <v>1</v>
      </c>
      <c r="AR85">
        <f t="shared" si="51"/>
        <v>0</v>
      </c>
      <c r="AS85">
        <f t="shared" si="52"/>
        <v>0</v>
      </c>
      <c r="AT85">
        <f t="shared" si="53"/>
        <v>0</v>
      </c>
      <c r="AU85">
        <f t="shared" si="54"/>
        <v>0</v>
      </c>
    </row>
    <row r="86" spans="1:47" x14ac:dyDescent="0.2">
      <c r="A86" t="s">
        <v>115</v>
      </c>
      <c r="B86">
        <v>2019</v>
      </c>
      <c r="C86">
        <v>2015</v>
      </c>
      <c r="D86" t="s">
        <v>264</v>
      </c>
      <c r="E86">
        <v>1</v>
      </c>
      <c r="F86">
        <v>0</v>
      </c>
      <c r="G86">
        <v>0</v>
      </c>
      <c r="H86">
        <v>326</v>
      </c>
      <c r="I86">
        <v>3</v>
      </c>
      <c r="J86">
        <f t="shared" si="55"/>
        <v>0.92024539877300615</v>
      </c>
      <c r="K86">
        <v>284</v>
      </c>
      <c r="L86">
        <v>38</v>
      </c>
      <c r="M86">
        <v>177</v>
      </c>
      <c r="N86" t="s">
        <v>6</v>
      </c>
      <c r="O86">
        <f t="shared" si="28"/>
        <v>0</v>
      </c>
      <c r="P86">
        <f t="shared" si="29"/>
        <v>1</v>
      </c>
      <c r="Q86">
        <f t="shared" si="30"/>
        <v>0</v>
      </c>
      <c r="R86">
        <f t="shared" si="31"/>
        <v>0</v>
      </c>
      <c r="S86">
        <f t="shared" si="32"/>
        <v>0</v>
      </c>
      <c r="T86">
        <f t="shared" si="33"/>
        <v>1</v>
      </c>
      <c r="U86">
        <f t="shared" si="34"/>
        <v>0</v>
      </c>
      <c r="V86">
        <f t="shared" si="35"/>
        <v>0</v>
      </c>
      <c r="W86" t="str">
        <f>VLOOKUP(A86,[2]!Table2[[NCT Number]:[Intervention type]],11,FALSE)</f>
        <v>immunotherapy+chemo</v>
      </c>
      <c r="X86">
        <f t="shared" si="36"/>
        <v>1</v>
      </c>
      <c r="Y86">
        <f t="shared" si="37"/>
        <v>0</v>
      </c>
      <c r="Z86">
        <f t="shared" si="38"/>
        <v>0</v>
      </c>
      <c r="AA86">
        <f t="shared" si="39"/>
        <v>0</v>
      </c>
      <c r="AB86">
        <f t="shared" si="40"/>
        <v>0</v>
      </c>
      <c r="AC86">
        <f t="shared" si="41"/>
        <v>0</v>
      </c>
      <c r="AD86">
        <f t="shared" si="42"/>
        <v>0</v>
      </c>
      <c r="AE86">
        <f t="shared" si="43"/>
        <v>1</v>
      </c>
      <c r="AF86">
        <f>IF(ISNUMBER(SEARCH("endocrine", W86)), 1, 0)</f>
        <v>0</v>
      </c>
      <c r="AG86" t="s">
        <v>9</v>
      </c>
      <c r="AH86" t="s">
        <v>10</v>
      </c>
      <c r="AI86" t="s">
        <v>26</v>
      </c>
      <c r="AJ86">
        <f t="shared" si="44"/>
        <v>1</v>
      </c>
      <c r="AK86">
        <f t="shared" si="45"/>
        <v>0</v>
      </c>
      <c r="AL86">
        <f t="shared" si="46"/>
        <v>0</v>
      </c>
      <c r="AM86">
        <f t="shared" si="47"/>
        <v>0</v>
      </c>
      <c r="AN86">
        <f t="shared" si="48"/>
        <v>0</v>
      </c>
      <c r="AO86">
        <f t="shared" si="49"/>
        <v>0</v>
      </c>
      <c r="AP86" t="s">
        <v>8</v>
      </c>
      <c r="AQ86">
        <f t="shared" si="50"/>
        <v>0</v>
      </c>
      <c r="AR86">
        <f t="shared" si="51"/>
        <v>0</v>
      </c>
      <c r="AS86">
        <f t="shared" si="52"/>
        <v>0</v>
      </c>
      <c r="AT86">
        <f t="shared" si="53"/>
        <v>0</v>
      </c>
      <c r="AU86">
        <f t="shared" si="54"/>
        <v>1</v>
      </c>
    </row>
    <row r="87" spans="1:47" x14ac:dyDescent="0.2">
      <c r="A87" t="s">
        <v>116</v>
      </c>
      <c r="B87">
        <v>2023</v>
      </c>
      <c r="C87">
        <v>2022</v>
      </c>
      <c r="D87" t="s">
        <v>266</v>
      </c>
      <c r="E87">
        <v>0</v>
      </c>
      <c r="F87">
        <v>0</v>
      </c>
      <c r="G87">
        <v>1</v>
      </c>
      <c r="H87">
        <v>329</v>
      </c>
      <c r="I87">
        <v>0</v>
      </c>
      <c r="J87">
        <f t="shared" si="55"/>
        <v>0</v>
      </c>
      <c r="K87">
        <v>0</v>
      </c>
      <c r="L87">
        <v>329</v>
      </c>
      <c r="M87">
        <v>0</v>
      </c>
      <c r="N87" t="s">
        <v>46</v>
      </c>
      <c r="O87">
        <f t="shared" si="28"/>
        <v>1</v>
      </c>
      <c r="P87">
        <f t="shared" si="29"/>
        <v>0</v>
      </c>
      <c r="Q87">
        <f t="shared" si="30"/>
        <v>0</v>
      </c>
      <c r="R87">
        <f t="shared" si="31"/>
        <v>0</v>
      </c>
      <c r="S87">
        <f t="shared" si="32"/>
        <v>0</v>
      </c>
      <c r="T87">
        <f t="shared" si="33"/>
        <v>0</v>
      </c>
      <c r="U87">
        <f t="shared" si="34"/>
        <v>0</v>
      </c>
      <c r="V87">
        <f t="shared" si="35"/>
        <v>0</v>
      </c>
      <c r="W87" t="str">
        <f>VLOOKUP(A87,[2]!Table2[[NCT Number]:[Intervention type]],11,FALSE)</f>
        <v>Targeted therapy+chemo</v>
      </c>
      <c r="X87">
        <f t="shared" si="36"/>
        <v>0</v>
      </c>
      <c r="Y87">
        <f t="shared" si="37"/>
        <v>1</v>
      </c>
      <c r="Z87">
        <f t="shared" si="38"/>
        <v>0</v>
      </c>
      <c r="AA87">
        <f t="shared" si="39"/>
        <v>0</v>
      </c>
      <c r="AB87">
        <f t="shared" si="40"/>
        <v>0</v>
      </c>
      <c r="AC87">
        <f t="shared" si="41"/>
        <v>0</v>
      </c>
      <c r="AD87">
        <f t="shared" si="42"/>
        <v>1</v>
      </c>
      <c r="AE87">
        <f t="shared" si="43"/>
        <v>0</v>
      </c>
      <c r="AF87">
        <f>IF(ISNUMBER(SEARCH("endocrine", W87)), 1, 0)</f>
        <v>0</v>
      </c>
      <c r="AG87" t="s">
        <v>9</v>
      </c>
      <c r="AH87" t="s">
        <v>10</v>
      </c>
      <c r="AI87" t="s">
        <v>42</v>
      </c>
      <c r="AJ87">
        <f t="shared" si="44"/>
        <v>0</v>
      </c>
      <c r="AK87">
        <f t="shared" si="45"/>
        <v>0</v>
      </c>
      <c r="AL87">
        <f t="shared" si="46"/>
        <v>1</v>
      </c>
      <c r="AM87">
        <f t="shared" si="47"/>
        <v>0</v>
      </c>
      <c r="AN87">
        <f t="shared" si="48"/>
        <v>0</v>
      </c>
      <c r="AO87">
        <f t="shared" si="49"/>
        <v>0</v>
      </c>
      <c r="AP87" t="s">
        <v>8</v>
      </c>
      <c r="AQ87">
        <f t="shared" si="50"/>
        <v>0</v>
      </c>
      <c r="AR87">
        <f t="shared" si="51"/>
        <v>0</v>
      </c>
      <c r="AS87">
        <f t="shared" si="52"/>
        <v>0</v>
      </c>
      <c r="AT87">
        <f t="shared" si="53"/>
        <v>0</v>
      </c>
      <c r="AU87">
        <f t="shared" si="54"/>
        <v>1</v>
      </c>
    </row>
    <row r="88" spans="1:47" x14ac:dyDescent="0.2">
      <c r="A88" t="s">
        <v>117</v>
      </c>
      <c r="B88">
        <v>2022</v>
      </c>
      <c r="C88">
        <v>2014</v>
      </c>
      <c r="D88" t="s">
        <v>264</v>
      </c>
      <c r="E88">
        <v>1</v>
      </c>
      <c r="F88">
        <v>0</v>
      </c>
      <c r="G88">
        <v>0</v>
      </c>
      <c r="H88">
        <v>330</v>
      </c>
      <c r="I88">
        <v>1</v>
      </c>
      <c r="J88">
        <f t="shared" si="55"/>
        <v>0.30303030303030304</v>
      </c>
      <c r="K88">
        <v>7</v>
      </c>
      <c r="L88">
        <v>322</v>
      </c>
      <c r="M88">
        <v>248</v>
      </c>
      <c r="N88" t="s">
        <v>35</v>
      </c>
      <c r="O88">
        <f t="shared" si="28"/>
        <v>0</v>
      </c>
      <c r="P88">
        <f t="shared" si="29"/>
        <v>0</v>
      </c>
      <c r="Q88">
        <f t="shared" si="30"/>
        <v>0</v>
      </c>
      <c r="R88">
        <f t="shared" si="31"/>
        <v>0</v>
      </c>
      <c r="S88">
        <f t="shared" si="32"/>
        <v>1</v>
      </c>
      <c r="T88">
        <f t="shared" si="33"/>
        <v>0</v>
      </c>
      <c r="U88">
        <f t="shared" si="34"/>
        <v>0</v>
      </c>
      <c r="V88">
        <f t="shared" si="35"/>
        <v>0</v>
      </c>
      <c r="W88" t="str">
        <f>VLOOKUP(A88,[2]!Table2[[NCT Number]:[Intervention type]],11,FALSE)</f>
        <v>immunotherapy+chemo</v>
      </c>
      <c r="X88">
        <f t="shared" si="36"/>
        <v>1</v>
      </c>
      <c r="Y88">
        <f t="shared" si="37"/>
        <v>0</v>
      </c>
      <c r="Z88">
        <f t="shared" si="38"/>
        <v>0</v>
      </c>
      <c r="AA88">
        <f t="shared" si="39"/>
        <v>0</v>
      </c>
      <c r="AB88">
        <f t="shared" si="40"/>
        <v>0</v>
      </c>
      <c r="AC88">
        <f t="shared" si="41"/>
        <v>0</v>
      </c>
      <c r="AD88">
        <f t="shared" si="42"/>
        <v>0</v>
      </c>
      <c r="AE88">
        <f t="shared" si="43"/>
        <v>1</v>
      </c>
      <c r="AF88">
        <f>IF(ISNUMBER(SEARCH("endocrine", W88)), 1, 0)</f>
        <v>0</v>
      </c>
      <c r="AG88" t="s">
        <v>9</v>
      </c>
      <c r="AH88" t="s">
        <v>10</v>
      </c>
      <c r="AI88" t="s">
        <v>11</v>
      </c>
      <c r="AJ88">
        <f t="shared" si="44"/>
        <v>0</v>
      </c>
      <c r="AK88">
        <f t="shared" si="45"/>
        <v>1</v>
      </c>
      <c r="AL88">
        <f t="shared" si="46"/>
        <v>0</v>
      </c>
      <c r="AM88">
        <f t="shared" si="47"/>
        <v>0</v>
      </c>
      <c r="AN88">
        <f t="shared" si="48"/>
        <v>0</v>
      </c>
      <c r="AO88">
        <f t="shared" si="49"/>
        <v>0</v>
      </c>
      <c r="AP88" t="s">
        <v>12</v>
      </c>
      <c r="AQ88">
        <f t="shared" si="50"/>
        <v>1</v>
      </c>
      <c r="AR88">
        <f t="shared" si="51"/>
        <v>0</v>
      </c>
      <c r="AS88">
        <f t="shared" si="52"/>
        <v>0</v>
      </c>
      <c r="AT88">
        <f t="shared" si="53"/>
        <v>0</v>
      </c>
      <c r="AU88">
        <f t="shared" si="54"/>
        <v>0</v>
      </c>
    </row>
    <row r="89" spans="1:47" x14ac:dyDescent="0.2">
      <c r="A89" t="s">
        <v>118</v>
      </c>
      <c r="B89">
        <v>2022</v>
      </c>
      <c r="C89">
        <v>2017</v>
      </c>
      <c r="D89" t="s">
        <v>265</v>
      </c>
      <c r="E89">
        <v>0</v>
      </c>
      <c r="F89">
        <v>1</v>
      </c>
      <c r="G89">
        <v>0</v>
      </c>
      <c r="H89">
        <v>333</v>
      </c>
      <c r="I89">
        <v>24</v>
      </c>
      <c r="J89">
        <f t="shared" si="55"/>
        <v>7.2072072072072073</v>
      </c>
      <c r="K89">
        <v>210</v>
      </c>
      <c r="L89">
        <v>99</v>
      </c>
      <c r="M89">
        <v>0</v>
      </c>
      <c r="N89" t="s">
        <v>46</v>
      </c>
      <c r="O89">
        <f t="shared" si="28"/>
        <v>1</v>
      </c>
      <c r="P89">
        <f t="shared" si="29"/>
        <v>0</v>
      </c>
      <c r="Q89">
        <f t="shared" si="30"/>
        <v>0</v>
      </c>
      <c r="R89">
        <f t="shared" si="31"/>
        <v>0</v>
      </c>
      <c r="S89">
        <f t="shared" si="32"/>
        <v>0</v>
      </c>
      <c r="T89">
        <f t="shared" si="33"/>
        <v>0</v>
      </c>
      <c r="U89">
        <f t="shared" si="34"/>
        <v>0</v>
      </c>
      <c r="V89">
        <f t="shared" si="35"/>
        <v>0</v>
      </c>
      <c r="W89" t="str">
        <f>VLOOKUP(A89,[2]!Table2[[NCT Number]:[Intervention type]],11,FALSE)</f>
        <v>immunotherapy+chemo</v>
      </c>
      <c r="X89">
        <f t="shared" si="36"/>
        <v>1</v>
      </c>
      <c r="Y89">
        <f t="shared" si="37"/>
        <v>0</v>
      </c>
      <c r="Z89">
        <f t="shared" si="38"/>
        <v>0</v>
      </c>
      <c r="AA89">
        <f t="shared" si="39"/>
        <v>0</v>
      </c>
      <c r="AB89">
        <f t="shared" si="40"/>
        <v>0</v>
      </c>
      <c r="AC89">
        <f t="shared" si="41"/>
        <v>0</v>
      </c>
      <c r="AD89">
        <f t="shared" si="42"/>
        <v>0</v>
      </c>
      <c r="AE89">
        <f t="shared" si="43"/>
        <v>1</v>
      </c>
      <c r="AF89">
        <f>IF(ISNUMBER(SEARCH("endocrine", W89)), 1, 0)</f>
        <v>0</v>
      </c>
      <c r="AG89" t="s">
        <v>9</v>
      </c>
      <c r="AH89" t="s">
        <v>10</v>
      </c>
      <c r="AI89" t="s">
        <v>11</v>
      </c>
      <c r="AJ89">
        <f t="shared" si="44"/>
        <v>0</v>
      </c>
      <c r="AK89">
        <f t="shared" si="45"/>
        <v>1</v>
      </c>
      <c r="AL89">
        <f t="shared" si="46"/>
        <v>0</v>
      </c>
      <c r="AM89">
        <f t="shared" si="47"/>
        <v>0</v>
      </c>
      <c r="AN89">
        <f t="shared" si="48"/>
        <v>0</v>
      </c>
      <c r="AO89">
        <f t="shared" si="49"/>
        <v>0</v>
      </c>
      <c r="AP89" t="s">
        <v>12</v>
      </c>
      <c r="AQ89">
        <f t="shared" si="50"/>
        <v>1</v>
      </c>
      <c r="AR89">
        <f t="shared" si="51"/>
        <v>0</v>
      </c>
      <c r="AS89">
        <f t="shared" si="52"/>
        <v>0</v>
      </c>
      <c r="AT89">
        <f t="shared" si="53"/>
        <v>0</v>
      </c>
      <c r="AU89">
        <f t="shared" si="54"/>
        <v>0</v>
      </c>
    </row>
    <row r="90" spans="1:47" x14ac:dyDescent="0.2">
      <c r="A90" t="s">
        <v>119</v>
      </c>
      <c r="B90">
        <v>2022</v>
      </c>
      <c r="C90">
        <v>2019</v>
      </c>
      <c r="D90" t="s">
        <v>266</v>
      </c>
      <c r="E90">
        <v>0</v>
      </c>
      <c r="F90">
        <v>0</v>
      </c>
      <c r="G90">
        <v>1</v>
      </c>
      <c r="H90">
        <v>338</v>
      </c>
      <c r="I90">
        <v>0</v>
      </c>
      <c r="J90">
        <f t="shared" si="55"/>
        <v>0</v>
      </c>
      <c r="K90">
        <v>257</v>
      </c>
      <c r="L90">
        <v>81</v>
      </c>
      <c r="M90">
        <v>0</v>
      </c>
      <c r="N90" t="s">
        <v>46</v>
      </c>
      <c r="O90">
        <f t="shared" si="28"/>
        <v>1</v>
      </c>
      <c r="P90">
        <f t="shared" si="29"/>
        <v>0</v>
      </c>
      <c r="Q90">
        <f t="shared" si="30"/>
        <v>0</v>
      </c>
      <c r="R90">
        <f t="shared" si="31"/>
        <v>0</v>
      </c>
      <c r="S90">
        <f t="shared" si="32"/>
        <v>0</v>
      </c>
      <c r="T90">
        <f t="shared" si="33"/>
        <v>0</v>
      </c>
      <c r="U90">
        <f t="shared" si="34"/>
        <v>0</v>
      </c>
      <c r="V90">
        <f t="shared" si="35"/>
        <v>0</v>
      </c>
      <c r="W90" t="str">
        <f>VLOOKUP(A90,[2]!Table2[[NCT Number]:[Intervention type]],11,FALSE)</f>
        <v>Targeted therapy</v>
      </c>
      <c r="X90">
        <f t="shared" si="36"/>
        <v>0</v>
      </c>
      <c r="Y90">
        <f t="shared" si="37"/>
        <v>1</v>
      </c>
      <c r="Z90">
        <f t="shared" si="38"/>
        <v>0</v>
      </c>
      <c r="AA90">
        <f t="shared" si="39"/>
        <v>0</v>
      </c>
      <c r="AB90">
        <f t="shared" si="40"/>
        <v>0</v>
      </c>
      <c r="AC90">
        <f t="shared" si="41"/>
        <v>0</v>
      </c>
      <c r="AD90">
        <f t="shared" si="42"/>
        <v>0</v>
      </c>
      <c r="AE90">
        <f t="shared" si="43"/>
        <v>0</v>
      </c>
      <c r="AF90">
        <f>IF(ISNUMBER(SEARCH("endocrine", W90)), 1, 0)</f>
        <v>0</v>
      </c>
      <c r="AG90" t="s">
        <v>15</v>
      </c>
      <c r="AH90" t="s">
        <v>10</v>
      </c>
      <c r="AI90" t="s">
        <v>8</v>
      </c>
      <c r="AJ90">
        <f t="shared" si="44"/>
        <v>0</v>
      </c>
      <c r="AK90">
        <f t="shared" si="45"/>
        <v>0</v>
      </c>
      <c r="AL90">
        <f t="shared" si="46"/>
        <v>0</v>
      </c>
      <c r="AM90">
        <f t="shared" si="47"/>
        <v>0</v>
      </c>
      <c r="AN90">
        <f t="shared" si="48"/>
        <v>0</v>
      </c>
      <c r="AO90">
        <f t="shared" si="49"/>
        <v>1</v>
      </c>
      <c r="AP90" t="s">
        <v>8</v>
      </c>
      <c r="AQ90">
        <f t="shared" si="50"/>
        <v>0</v>
      </c>
      <c r="AR90">
        <f t="shared" si="51"/>
        <v>0</v>
      </c>
      <c r="AS90">
        <f t="shared" si="52"/>
        <v>0</v>
      </c>
      <c r="AT90">
        <f t="shared" si="53"/>
        <v>0</v>
      </c>
      <c r="AU90">
        <f t="shared" si="54"/>
        <v>1</v>
      </c>
    </row>
    <row r="91" spans="1:47" x14ac:dyDescent="0.2">
      <c r="A91" t="s">
        <v>120</v>
      </c>
      <c r="B91">
        <v>2021</v>
      </c>
      <c r="C91">
        <v>2016</v>
      </c>
      <c r="D91" t="s">
        <v>265</v>
      </c>
      <c r="E91">
        <v>0</v>
      </c>
      <c r="F91">
        <v>1</v>
      </c>
      <c r="G91">
        <v>0</v>
      </c>
      <c r="H91">
        <v>342</v>
      </c>
      <c r="I91">
        <v>7</v>
      </c>
      <c r="J91">
        <f t="shared" si="55"/>
        <v>2.0467836257309941</v>
      </c>
      <c r="K91">
        <v>262</v>
      </c>
      <c r="L91">
        <v>73</v>
      </c>
      <c r="M91">
        <v>212</v>
      </c>
      <c r="N91" t="s">
        <v>21</v>
      </c>
      <c r="O91">
        <f t="shared" si="28"/>
        <v>0</v>
      </c>
      <c r="P91">
        <f t="shared" si="29"/>
        <v>0</v>
      </c>
      <c r="Q91">
        <f t="shared" si="30"/>
        <v>0</v>
      </c>
      <c r="R91">
        <f t="shared" si="31"/>
        <v>0</v>
      </c>
      <c r="S91">
        <f t="shared" si="32"/>
        <v>0</v>
      </c>
      <c r="T91">
        <f t="shared" si="33"/>
        <v>0</v>
      </c>
      <c r="U91">
        <f t="shared" si="34"/>
        <v>0</v>
      </c>
      <c r="V91">
        <f t="shared" si="35"/>
        <v>1</v>
      </c>
      <c r="W91" t="str">
        <f>VLOOKUP(A91,[2]!Table2[[NCT Number]:[Intervention type]],11,FALSE)</f>
        <v>chemotherapy</v>
      </c>
      <c r="X91">
        <f t="shared" si="36"/>
        <v>0</v>
      </c>
      <c r="Y91">
        <f t="shared" si="37"/>
        <v>0</v>
      </c>
      <c r="Z91">
        <f t="shared" si="38"/>
        <v>1</v>
      </c>
      <c r="AA91">
        <f t="shared" si="39"/>
        <v>0</v>
      </c>
      <c r="AB91">
        <f t="shared" si="40"/>
        <v>0</v>
      </c>
      <c r="AC91">
        <f t="shared" si="41"/>
        <v>0</v>
      </c>
      <c r="AD91">
        <f t="shared" si="42"/>
        <v>0</v>
      </c>
      <c r="AE91">
        <f t="shared" si="43"/>
        <v>0</v>
      </c>
      <c r="AF91">
        <f>IF(ISNUMBER(SEARCH("endocrine", W91)), 1, 0)</f>
        <v>0</v>
      </c>
      <c r="AG91" t="s">
        <v>15</v>
      </c>
      <c r="AH91" t="s">
        <v>10</v>
      </c>
      <c r="AI91" t="s">
        <v>263</v>
      </c>
      <c r="AJ91">
        <f t="shared" si="44"/>
        <v>0</v>
      </c>
      <c r="AK91">
        <f t="shared" si="45"/>
        <v>0</v>
      </c>
      <c r="AL91">
        <f t="shared" si="46"/>
        <v>0</v>
      </c>
      <c r="AM91">
        <f t="shared" si="47"/>
        <v>0</v>
      </c>
      <c r="AN91">
        <f t="shared" si="48"/>
        <v>1</v>
      </c>
      <c r="AO91">
        <f t="shared" si="49"/>
        <v>0</v>
      </c>
      <c r="AP91" t="s">
        <v>12</v>
      </c>
      <c r="AQ91">
        <f t="shared" si="50"/>
        <v>1</v>
      </c>
      <c r="AR91">
        <f t="shared" si="51"/>
        <v>0</v>
      </c>
      <c r="AS91">
        <f t="shared" si="52"/>
        <v>0</v>
      </c>
      <c r="AT91">
        <f t="shared" si="53"/>
        <v>0</v>
      </c>
      <c r="AU91">
        <f t="shared" si="54"/>
        <v>0</v>
      </c>
    </row>
    <row r="92" spans="1:47" x14ac:dyDescent="0.2">
      <c r="A92" t="s">
        <v>121</v>
      </c>
      <c r="B92">
        <v>2022</v>
      </c>
      <c r="C92">
        <v>2017</v>
      </c>
      <c r="D92" t="s">
        <v>265</v>
      </c>
      <c r="E92">
        <v>0</v>
      </c>
      <c r="F92">
        <v>1</v>
      </c>
      <c r="G92">
        <v>0</v>
      </c>
      <c r="H92">
        <v>349</v>
      </c>
      <c r="I92">
        <v>6</v>
      </c>
      <c r="J92">
        <f t="shared" si="55"/>
        <v>1.7191977077363896</v>
      </c>
      <c r="K92">
        <v>332</v>
      </c>
      <c r="L92">
        <v>11</v>
      </c>
      <c r="M92">
        <v>0</v>
      </c>
      <c r="N92" t="s">
        <v>44</v>
      </c>
      <c r="O92">
        <f t="shared" si="28"/>
        <v>0</v>
      </c>
      <c r="P92">
        <f t="shared" si="29"/>
        <v>1</v>
      </c>
      <c r="Q92">
        <f t="shared" si="30"/>
        <v>0</v>
      </c>
      <c r="R92">
        <f t="shared" si="31"/>
        <v>1</v>
      </c>
      <c r="S92">
        <f t="shared" si="32"/>
        <v>0</v>
      </c>
      <c r="T92">
        <f t="shared" si="33"/>
        <v>0</v>
      </c>
      <c r="U92">
        <f t="shared" si="34"/>
        <v>0</v>
      </c>
      <c r="V92">
        <f t="shared" si="35"/>
        <v>0</v>
      </c>
      <c r="W92" t="str">
        <f>VLOOKUP(A92,[2]!Table2[[NCT Number]:[Intervention type]],11,FALSE)</f>
        <v>Targeted therapy</v>
      </c>
      <c r="X92">
        <f t="shared" si="36"/>
        <v>0</v>
      </c>
      <c r="Y92">
        <f t="shared" si="37"/>
        <v>1</v>
      </c>
      <c r="Z92">
        <f t="shared" si="38"/>
        <v>0</v>
      </c>
      <c r="AA92">
        <f t="shared" si="39"/>
        <v>0</v>
      </c>
      <c r="AB92">
        <f t="shared" si="40"/>
        <v>0</v>
      </c>
      <c r="AC92">
        <f t="shared" si="41"/>
        <v>0</v>
      </c>
      <c r="AD92">
        <f t="shared" si="42"/>
        <v>0</v>
      </c>
      <c r="AE92">
        <f t="shared" si="43"/>
        <v>0</v>
      </c>
      <c r="AF92">
        <f>IF(ISNUMBER(SEARCH("endocrine", W92)), 1, 0)</f>
        <v>0</v>
      </c>
      <c r="AG92" t="s">
        <v>15</v>
      </c>
      <c r="AH92" t="s">
        <v>10</v>
      </c>
      <c r="AI92" t="s">
        <v>263</v>
      </c>
      <c r="AJ92">
        <f t="shared" si="44"/>
        <v>0</v>
      </c>
      <c r="AK92">
        <f t="shared" si="45"/>
        <v>0</v>
      </c>
      <c r="AL92">
        <f t="shared" si="46"/>
        <v>0</v>
      </c>
      <c r="AM92">
        <f t="shared" si="47"/>
        <v>0</v>
      </c>
      <c r="AN92">
        <f t="shared" si="48"/>
        <v>1</v>
      </c>
      <c r="AO92">
        <f t="shared" si="49"/>
        <v>0</v>
      </c>
      <c r="AP92" t="s">
        <v>12</v>
      </c>
      <c r="AQ92">
        <f t="shared" si="50"/>
        <v>1</v>
      </c>
      <c r="AR92">
        <f t="shared" si="51"/>
        <v>0</v>
      </c>
      <c r="AS92">
        <f t="shared" si="52"/>
        <v>0</v>
      </c>
      <c r="AT92">
        <f t="shared" si="53"/>
        <v>0</v>
      </c>
      <c r="AU92">
        <f t="shared" si="54"/>
        <v>0</v>
      </c>
    </row>
    <row r="93" spans="1:47" x14ac:dyDescent="0.2">
      <c r="A93" t="s">
        <v>122</v>
      </c>
      <c r="B93">
        <v>2023</v>
      </c>
      <c r="C93">
        <v>2016</v>
      </c>
      <c r="D93" t="s">
        <v>265</v>
      </c>
      <c r="E93">
        <v>0</v>
      </c>
      <c r="F93">
        <v>1</v>
      </c>
      <c r="G93">
        <v>0</v>
      </c>
      <c r="H93">
        <v>350</v>
      </c>
      <c r="I93">
        <v>0</v>
      </c>
      <c r="J93">
        <f t="shared" si="55"/>
        <v>0</v>
      </c>
      <c r="K93">
        <v>332</v>
      </c>
      <c r="L93">
        <v>18</v>
      </c>
      <c r="M93">
        <v>254</v>
      </c>
      <c r="N93" t="s">
        <v>30</v>
      </c>
      <c r="O93">
        <f t="shared" si="28"/>
        <v>0</v>
      </c>
      <c r="P93">
        <f t="shared" si="29"/>
        <v>0</v>
      </c>
      <c r="Q93">
        <f t="shared" si="30"/>
        <v>1</v>
      </c>
      <c r="R93">
        <f t="shared" si="31"/>
        <v>0</v>
      </c>
      <c r="S93">
        <f t="shared" si="32"/>
        <v>0</v>
      </c>
      <c r="T93">
        <f t="shared" si="33"/>
        <v>0</v>
      </c>
      <c r="U93">
        <f t="shared" si="34"/>
        <v>0</v>
      </c>
      <c r="V93">
        <f t="shared" si="35"/>
        <v>0</v>
      </c>
      <c r="W93" t="str">
        <f>VLOOKUP(A93,[2]!Table2[[NCT Number]:[Intervention type]],11,FALSE)</f>
        <v>Targeted therapy</v>
      </c>
      <c r="X93">
        <f t="shared" si="36"/>
        <v>0</v>
      </c>
      <c r="Y93">
        <f t="shared" si="37"/>
        <v>1</v>
      </c>
      <c r="Z93">
        <f t="shared" si="38"/>
        <v>0</v>
      </c>
      <c r="AA93">
        <f t="shared" si="39"/>
        <v>0</v>
      </c>
      <c r="AB93">
        <f t="shared" si="40"/>
        <v>0</v>
      </c>
      <c r="AC93">
        <f t="shared" si="41"/>
        <v>0</v>
      </c>
      <c r="AD93">
        <f t="shared" si="42"/>
        <v>0</v>
      </c>
      <c r="AE93">
        <f t="shared" si="43"/>
        <v>0</v>
      </c>
      <c r="AF93">
        <f>IF(ISNUMBER(SEARCH("endocrine", W93)), 1, 0)</f>
        <v>0</v>
      </c>
      <c r="AG93" t="s">
        <v>15</v>
      </c>
      <c r="AH93" t="s">
        <v>10</v>
      </c>
      <c r="AI93" t="s">
        <v>263</v>
      </c>
      <c r="AJ93">
        <f t="shared" si="44"/>
        <v>0</v>
      </c>
      <c r="AK93">
        <f t="shared" si="45"/>
        <v>0</v>
      </c>
      <c r="AL93">
        <f t="shared" si="46"/>
        <v>0</v>
      </c>
      <c r="AM93">
        <f t="shared" si="47"/>
        <v>0</v>
      </c>
      <c r="AN93">
        <f t="shared" si="48"/>
        <v>1</v>
      </c>
      <c r="AO93">
        <f t="shared" si="49"/>
        <v>0</v>
      </c>
      <c r="AP93" t="s">
        <v>12</v>
      </c>
      <c r="AQ93">
        <f t="shared" si="50"/>
        <v>1</v>
      </c>
      <c r="AR93">
        <f t="shared" si="51"/>
        <v>0</v>
      </c>
      <c r="AS93">
        <f t="shared" si="52"/>
        <v>0</v>
      </c>
      <c r="AT93">
        <f t="shared" si="53"/>
        <v>0</v>
      </c>
      <c r="AU93">
        <f t="shared" si="54"/>
        <v>0</v>
      </c>
    </row>
    <row r="94" spans="1:47" x14ac:dyDescent="0.2">
      <c r="A94" t="s">
        <v>123</v>
      </c>
      <c r="B94">
        <v>2021</v>
      </c>
      <c r="C94">
        <v>2018</v>
      </c>
      <c r="D94" t="s">
        <v>265</v>
      </c>
      <c r="E94">
        <v>0</v>
      </c>
      <c r="F94">
        <v>1</v>
      </c>
      <c r="G94">
        <v>0</v>
      </c>
      <c r="H94">
        <v>357</v>
      </c>
      <c r="I94">
        <v>0</v>
      </c>
      <c r="J94">
        <f t="shared" si="55"/>
        <v>0</v>
      </c>
      <c r="K94">
        <v>0</v>
      </c>
      <c r="L94">
        <v>357</v>
      </c>
      <c r="M94">
        <v>327</v>
      </c>
      <c r="N94" t="s">
        <v>18</v>
      </c>
      <c r="O94">
        <f t="shared" si="28"/>
        <v>0</v>
      </c>
      <c r="P94">
        <f t="shared" si="29"/>
        <v>0</v>
      </c>
      <c r="Q94">
        <f t="shared" si="30"/>
        <v>0</v>
      </c>
      <c r="R94">
        <f t="shared" si="31"/>
        <v>0</v>
      </c>
      <c r="S94">
        <f t="shared" si="32"/>
        <v>0</v>
      </c>
      <c r="T94">
        <f t="shared" si="33"/>
        <v>0</v>
      </c>
      <c r="U94">
        <f t="shared" si="34"/>
        <v>1</v>
      </c>
      <c r="V94">
        <f t="shared" si="35"/>
        <v>0</v>
      </c>
      <c r="W94" t="str">
        <f>VLOOKUP(A94,[2]!Table2[[NCT Number]:[Intervention type]],11,FALSE)</f>
        <v>immunotherapy+chemo</v>
      </c>
      <c r="X94">
        <f t="shared" si="36"/>
        <v>1</v>
      </c>
      <c r="Y94">
        <f t="shared" si="37"/>
        <v>0</v>
      </c>
      <c r="Z94">
        <f t="shared" si="38"/>
        <v>0</v>
      </c>
      <c r="AA94">
        <f t="shared" si="39"/>
        <v>0</v>
      </c>
      <c r="AB94">
        <f t="shared" si="40"/>
        <v>0</v>
      </c>
      <c r="AC94">
        <f t="shared" si="41"/>
        <v>0</v>
      </c>
      <c r="AD94">
        <f t="shared" si="42"/>
        <v>0</v>
      </c>
      <c r="AE94">
        <f t="shared" si="43"/>
        <v>1</v>
      </c>
      <c r="AF94">
        <f>IF(ISNUMBER(SEARCH("endocrine", W94)), 1, 0)</f>
        <v>0</v>
      </c>
      <c r="AG94" t="s">
        <v>9</v>
      </c>
      <c r="AH94" t="s">
        <v>124</v>
      </c>
      <c r="AI94" t="s">
        <v>11</v>
      </c>
      <c r="AJ94">
        <f t="shared" si="44"/>
        <v>0</v>
      </c>
      <c r="AK94">
        <f t="shared" si="45"/>
        <v>1</v>
      </c>
      <c r="AL94">
        <f t="shared" si="46"/>
        <v>0</v>
      </c>
      <c r="AM94">
        <f t="shared" si="47"/>
        <v>0</v>
      </c>
      <c r="AN94">
        <f t="shared" si="48"/>
        <v>0</v>
      </c>
      <c r="AO94">
        <f t="shared" si="49"/>
        <v>0</v>
      </c>
      <c r="AP94" t="s">
        <v>12</v>
      </c>
      <c r="AQ94">
        <f t="shared" si="50"/>
        <v>1</v>
      </c>
      <c r="AR94">
        <f t="shared" si="51"/>
        <v>0</v>
      </c>
      <c r="AS94">
        <f t="shared" si="52"/>
        <v>0</v>
      </c>
      <c r="AT94">
        <f t="shared" si="53"/>
        <v>0</v>
      </c>
      <c r="AU94">
        <f t="shared" si="54"/>
        <v>0</v>
      </c>
    </row>
    <row r="95" spans="1:47" x14ac:dyDescent="0.2">
      <c r="A95" t="s">
        <v>125</v>
      </c>
      <c r="B95">
        <v>2022</v>
      </c>
      <c r="C95">
        <v>2013</v>
      </c>
      <c r="D95" t="s">
        <v>264</v>
      </c>
      <c r="E95">
        <v>1</v>
      </c>
      <c r="F95">
        <v>0</v>
      </c>
      <c r="G95">
        <v>0</v>
      </c>
      <c r="H95">
        <v>358</v>
      </c>
      <c r="I95" t="s">
        <v>8</v>
      </c>
      <c r="J95" t="s">
        <v>8</v>
      </c>
      <c r="K95">
        <v>233</v>
      </c>
      <c r="L95" t="s">
        <v>8</v>
      </c>
      <c r="M95">
        <v>172</v>
      </c>
      <c r="N95" t="s">
        <v>6</v>
      </c>
      <c r="O95">
        <f t="shared" si="28"/>
        <v>0</v>
      </c>
      <c r="P95">
        <f t="shared" si="29"/>
        <v>1</v>
      </c>
      <c r="Q95">
        <f t="shared" si="30"/>
        <v>0</v>
      </c>
      <c r="R95">
        <f t="shared" si="31"/>
        <v>0</v>
      </c>
      <c r="S95">
        <f t="shared" si="32"/>
        <v>0</v>
      </c>
      <c r="T95">
        <f t="shared" si="33"/>
        <v>1</v>
      </c>
      <c r="U95">
        <f t="shared" si="34"/>
        <v>0</v>
      </c>
      <c r="V95">
        <f t="shared" si="35"/>
        <v>0</v>
      </c>
      <c r="W95" t="str">
        <f>VLOOKUP(A95,[2]!Table2[[NCT Number]:[Intervention type]],11,FALSE)</f>
        <v>Targeted therapy+chemo</v>
      </c>
      <c r="X95">
        <f t="shared" si="36"/>
        <v>0</v>
      </c>
      <c r="Y95">
        <f t="shared" si="37"/>
        <v>1</v>
      </c>
      <c r="Z95">
        <f t="shared" si="38"/>
        <v>0</v>
      </c>
      <c r="AA95">
        <f t="shared" si="39"/>
        <v>0</v>
      </c>
      <c r="AB95">
        <f t="shared" si="40"/>
        <v>0</v>
      </c>
      <c r="AC95">
        <f t="shared" si="41"/>
        <v>0</v>
      </c>
      <c r="AD95">
        <f t="shared" si="42"/>
        <v>1</v>
      </c>
      <c r="AE95">
        <f t="shared" si="43"/>
        <v>0</v>
      </c>
      <c r="AF95">
        <f>IF(ISNUMBER(SEARCH("endocrine", W95)), 1, 0)</f>
        <v>0</v>
      </c>
      <c r="AG95" t="s">
        <v>9</v>
      </c>
      <c r="AH95" t="s">
        <v>10</v>
      </c>
      <c r="AI95" t="s">
        <v>11</v>
      </c>
      <c r="AJ95">
        <f t="shared" si="44"/>
        <v>0</v>
      </c>
      <c r="AK95">
        <f t="shared" si="45"/>
        <v>1</v>
      </c>
      <c r="AL95">
        <f t="shared" si="46"/>
        <v>0</v>
      </c>
      <c r="AM95">
        <f t="shared" si="47"/>
        <v>0</v>
      </c>
      <c r="AN95">
        <f t="shared" si="48"/>
        <v>0</v>
      </c>
      <c r="AO95">
        <f t="shared" si="49"/>
        <v>0</v>
      </c>
      <c r="AP95" t="s">
        <v>12</v>
      </c>
      <c r="AQ95">
        <f t="shared" si="50"/>
        <v>1</v>
      </c>
      <c r="AR95">
        <f t="shared" si="51"/>
        <v>0</v>
      </c>
      <c r="AS95">
        <f t="shared" si="52"/>
        <v>0</v>
      </c>
      <c r="AT95">
        <f t="shared" si="53"/>
        <v>0</v>
      </c>
      <c r="AU95">
        <f t="shared" si="54"/>
        <v>0</v>
      </c>
    </row>
    <row r="96" spans="1:47" x14ac:dyDescent="0.2">
      <c r="A96" t="s">
        <v>126</v>
      </c>
      <c r="B96">
        <v>2023</v>
      </c>
      <c r="C96">
        <v>2018</v>
      </c>
      <c r="D96" t="s">
        <v>265</v>
      </c>
      <c r="E96">
        <v>0</v>
      </c>
      <c r="F96">
        <v>1</v>
      </c>
      <c r="G96">
        <v>0</v>
      </c>
      <c r="H96">
        <v>360</v>
      </c>
      <c r="I96">
        <v>0</v>
      </c>
      <c r="J96">
        <f t="shared" si="55"/>
        <v>0</v>
      </c>
      <c r="K96">
        <v>0</v>
      </c>
      <c r="L96">
        <v>360</v>
      </c>
      <c r="M96">
        <v>330</v>
      </c>
      <c r="N96" t="s">
        <v>18</v>
      </c>
      <c r="O96">
        <f t="shared" si="28"/>
        <v>0</v>
      </c>
      <c r="P96">
        <f t="shared" si="29"/>
        <v>0</v>
      </c>
      <c r="Q96">
        <f t="shared" si="30"/>
        <v>0</v>
      </c>
      <c r="R96">
        <f t="shared" si="31"/>
        <v>0</v>
      </c>
      <c r="S96">
        <f t="shared" si="32"/>
        <v>0</v>
      </c>
      <c r="T96">
        <f t="shared" si="33"/>
        <v>0</v>
      </c>
      <c r="U96">
        <f t="shared" si="34"/>
        <v>1</v>
      </c>
      <c r="V96">
        <f t="shared" si="35"/>
        <v>0</v>
      </c>
      <c r="W96" t="str">
        <f>VLOOKUP(A96,[2]!Table2[[NCT Number]:[Intervention type]],11,FALSE)</f>
        <v>immunotherapy+chemo</v>
      </c>
      <c r="X96">
        <f t="shared" si="36"/>
        <v>1</v>
      </c>
      <c r="Y96">
        <f t="shared" si="37"/>
        <v>0</v>
      </c>
      <c r="Z96">
        <f t="shared" si="38"/>
        <v>0</v>
      </c>
      <c r="AA96">
        <f t="shared" si="39"/>
        <v>0</v>
      </c>
      <c r="AB96">
        <f t="shared" si="40"/>
        <v>0</v>
      </c>
      <c r="AC96">
        <f t="shared" si="41"/>
        <v>0</v>
      </c>
      <c r="AD96">
        <f t="shared" si="42"/>
        <v>0</v>
      </c>
      <c r="AE96">
        <f t="shared" si="43"/>
        <v>1</v>
      </c>
      <c r="AF96">
        <f>IF(ISNUMBER(SEARCH("endocrine", W96)), 1, 0)</f>
        <v>0</v>
      </c>
      <c r="AG96" t="s">
        <v>9</v>
      </c>
      <c r="AH96" t="s">
        <v>10</v>
      </c>
      <c r="AI96" t="s">
        <v>263</v>
      </c>
      <c r="AJ96">
        <f t="shared" si="44"/>
        <v>0</v>
      </c>
      <c r="AK96">
        <f t="shared" si="45"/>
        <v>0</v>
      </c>
      <c r="AL96">
        <f t="shared" si="46"/>
        <v>0</v>
      </c>
      <c r="AM96">
        <f t="shared" si="47"/>
        <v>0</v>
      </c>
      <c r="AN96">
        <f t="shared" si="48"/>
        <v>1</v>
      </c>
      <c r="AO96">
        <f t="shared" si="49"/>
        <v>0</v>
      </c>
      <c r="AP96" t="s">
        <v>8</v>
      </c>
      <c r="AQ96">
        <f t="shared" si="50"/>
        <v>0</v>
      </c>
      <c r="AR96">
        <f t="shared" si="51"/>
        <v>0</v>
      </c>
      <c r="AS96">
        <f t="shared" si="52"/>
        <v>0</v>
      </c>
      <c r="AT96">
        <f t="shared" si="53"/>
        <v>0</v>
      </c>
      <c r="AU96">
        <f t="shared" si="54"/>
        <v>1</v>
      </c>
    </row>
    <row r="97" spans="1:47" x14ac:dyDescent="0.2">
      <c r="A97" t="s">
        <v>127</v>
      </c>
      <c r="B97">
        <v>2021</v>
      </c>
      <c r="C97">
        <v>2014</v>
      </c>
      <c r="D97" t="s">
        <v>264</v>
      </c>
      <c r="E97">
        <v>1</v>
      </c>
      <c r="F97">
        <v>0</v>
      </c>
      <c r="G97">
        <v>0</v>
      </c>
      <c r="H97">
        <v>361</v>
      </c>
      <c r="I97">
        <v>13</v>
      </c>
      <c r="J97">
        <f t="shared" si="55"/>
        <v>3.601108033240997</v>
      </c>
      <c r="K97">
        <v>300</v>
      </c>
      <c r="L97">
        <v>48</v>
      </c>
      <c r="M97">
        <v>300</v>
      </c>
      <c r="N97" t="s">
        <v>35</v>
      </c>
      <c r="O97">
        <f t="shared" si="28"/>
        <v>0</v>
      </c>
      <c r="P97">
        <f t="shared" si="29"/>
        <v>0</v>
      </c>
      <c r="Q97">
        <f t="shared" si="30"/>
        <v>0</v>
      </c>
      <c r="R97">
        <f t="shared" si="31"/>
        <v>0</v>
      </c>
      <c r="S97">
        <f t="shared" si="32"/>
        <v>1</v>
      </c>
      <c r="T97">
        <f t="shared" si="33"/>
        <v>0</v>
      </c>
      <c r="U97">
        <f t="shared" si="34"/>
        <v>0</v>
      </c>
      <c r="V97">
        <f t="shared" si="35"/>
        <v>0</v>
      </c>
      <c r="W97" t="str">
        <f>VLOOKUP(A97,[2]!Table2[[NCT Number]:[Intervention type]],11,FALSE)</f>
        <v>immunotherapy</v>
      </c>
      <c r="X97">
        <f t="shared" si="36"/>
        <v>1</v>
      </c>
      <c r="Y97">
        <f t="shared" si="37"/>
        <v>0</v>
      </c>
      <c r="Z97">
        <f t="shared" si="38"/>
        <v>0</v>
      </c>
      <c r="AA97">
        <f t="shared" si="39"/>
        <v>0</v>
      </c>
      <c r="AB97">
        <f t="shared" si="40"/>
        <v>0</v>
      </c>
      <c r="AC97">
        <f t="shared" si="41"/>
        <v>0</v>
      </c>
      <c r="AD97">
        <f t="shared" si="42"/>
        <v>0</v>
      </c>
      <c r="AE97">
        <f t="shared" si="43"/>
        <v>0</v>
      </c>
      <c r="AF97">
        <f>IF(ISNUMBER(SEARCH("endocrine", W97)), 1, 0)</f>
        <v>0</v>
      </c>
      <c r="AG97" t="s">
        <v>15</v>
      </c>
      <c r="AH97" t="s">
        <v>10</v>
      </c>
      <c r="AI97" t="s">
        <v>263</v>
      </c>
      <c r="AJ97">
        <f t="shared" si="44"/>
        <v>0</v>
      </c>
      <c r="AK97">
        <f t="shared" si="45"/>
        <v>0</v>
      </c>
      <c r="AL97">
        <f t="shared" si="46"/>
        <v>0</v>
      </c>
      <c r="AM97">
        <f t="shared" si="47"/>
        <v>0</v>
      </c>
      <c r="AN97">
        <f t="shared" si="48"/>
        <v>1</v>
      </c>
      <c r="AO97">
        <f t="shared" si="49"/>
        <v>0</v>
      </c>
      <c r="AP97" t="s">
        <v>12</v>
      </c>
      <c r="AQ97">
        <f t="shared" si="50"/>
        <v>1</v>
      </c>
      <c r="AR97">
        <f t="shared" si="51"/>
        <v>0</v>
      </c>
      <c r="AS97">
        <f t="shared" si="52"/>
        <v>0</v>
      </c>
      <c r="AT97">
        <f t="shared" si="53"/>
        <v>0</v>
      </c>
      <c r="AU97">
        <f t="shared" si="54"/>
        <v>0</v>
      </c>
    </row>
    <row r="98" spans="1:47" x14ac:dyDescent="0.2">
      <c r="A98" t="s">
        <v>128</v>
      </c>
      <c r="B98">
        <v>2019</v>
      </c>
      <c r="C98">
        <v>2016</v>
      </c>
      <c r="D98" t="s">
        <v>265</v>
      </c>
      <c r="E98">
        <v>0</v>
      </c>
      <c r="F98">
        <v>1</v>
      </c>
      <c r="G98">
        <v>0</v>
      </c>
      <c r="H98">
        <v>363</v>
      </c>
      <c r="I98">
        <v>10</v>
      </c>
      <c r="J98">
        <f t="shared" si="55"/>
        <v>2.7548209366391183</v>
      </c>
      <c r="K98">
        <v>296</v>
      </c>
      <c r="L98">
        <v>57</v>
      </c>
      <c r="M98">
        <v>218</v>
      </c>
      <c r="N98" t="s">
        <v>56</v>
      </c>
      <c r="O98">
        <f t="shared" si="28"/>
        <v>0</v>
      </c>
      <c r="P98">
        <f t="shared" si="29"/>
        <v>1</v>
      </c>
      <c r="Q98">
        <f t="shared" si="30"/>
        <v>0</v>
      </c>
      <c r="R98">
        <f t="shared" si="31"/>
        <v>0</v>
      </c>
      <c r="S98">
        <f t="shared" si="32"/>
        <v>0</v>
      </c>
      <c r="T98">
        <f t="shared" si="33"/>
        <v>0</v>
      </c>
      <c r="U98">
        <f t="shared" si="34"/>
        <v>0</v>
      </c>
      <c r="V98">
        <f t="shared" si="35"/>
        <v>0</v>
      </c>
      <c r="W98" t="str">
        <f>VLOOKUP(A98,[2]!Table2[[NCT Number]:[Intervention type]],11,FALSE)</f>
        <v>immunotherapy+targeted therapy</v>
      </c>
      <c r="X98">
        <f t="shared" si="36"/>
        <v>1</v>
      </c>
      <c r="Y98">
        <f t="shared" si="37"/>
        <v>1</v>
      </c>
      <c r="Z98">
        <f t="shared" si="38"/>
        <v>0</v>
      </c>
      <c r="AA98">
        <f t="shared" si="39"/>
        <v>0</v>
      </c>
      <c r="AB98">
        <f t="shared" si="40"/>
        <v>0</v>
      </c>
      <c r="AC98">
        <f t="shared" si="41"/>
        <v>1</v>
      </c>
      <c r="AD98">
        <f t="shared" si="42"/>
        <v>0</v>
      </c>
      <c r="AE98">
        <f t="shared" si="43"/>
        <v>0</v>
      </c>
      <c r="AF98">
        <f>IF(ISNUMBER(SEARCH("endocrine", W98)), 1, 0)</f>
        <v>0</v>
      </c>
      <c r="AG98" t="s">
        <v>9</v>
      </c>
      <c r="AH98" t="s">
        <v>10</v>
      </c>
      <c r="AI98" t="s">
        <v>11</v>
      </c>
      <c r="AJ98">
        <f t="shared" si="44"/>
        <v>0</v>
      </c>
      <c r="AK98">
        <f t="shared" si="45"/>
        <v>1</v>
      </c>
      <c r="AL98">
        <f t="shared" si="46"/>
        <v>0</v>
      </c>
      <c r="AM98">
        <f t="shared" si="47"/>
        <v>0</v>
      </c>
      <c r="AN98">
        <f t="shared" si="48"/>
        <v>0</v>
      </c>
      <c r="AO98">
        <f t="shared" si="49"/>
        <v>0</v>
      </c>
      <c r="AP98" t="s">
        <v>12</v>
      </c>
      <c r="AQ98">
        <f t="shared" si="50"/>
        <v>1</v>
      </c>
      <c r="AR98">
        <f t="shared" si="51"/>
        <v>0</v>
      </c>
      <c r="AS98">
        <f t="shared" si="52"/>
        <v>0</v>
      </c>
      <c r="AT98">
        <f t="shared" si="53"/>
        <v>0</v>
      </c>
      <c r="AU98">
        <f t="shared" si="54"/>
        <v>0</v>
      </c>
    </row>
    <row r="99" spans="1:47" x14ac:dyDescent="0.2">
      <c r="A99" t="s">
        <v>129</v>
      </c>
      <c r="B99">
        <v>2023</v>
      </c>
      <c r="C99">
        <v>2016</v>
      </c>
      <c r="D99" t="s">
        <v>265</v>
      </c>
      <c r="E99">
        <v>0</v>
      </c>
      <c r="F99">
        <v>1</v>
      </c>
      <c r="G99">
        <v>0</v>
      </c>
      <c r="H99">
        <v>363</v>
      </c>
      <c r="I99">
        <v>15</v>
      </c>
      <c r="J99">
        <f t="shared" si="55"/>
        <v>4.1322314049586772</v>
      </c>
      <c r="K99">
        <v>337</v>
      </c>
      <c r="L99">
        <v>11</v>
      </c>
      <c r="M99">
        <v>260</v>
      </c>
      <c r="N99" t="s">
        <v>18</v>
      </c>
      <c r="O99">
        <f t="shared" si="28"/>
        <v>0</v>
      </c>
      <c r="P99">
        <f t="shared" si="29"/>
        <v>0</v>
      </c>
      <c r="Q99">
        <f t="shared" si="30"/>
        <v>0</v>
      </c>
      <c r="R99">
        <f t="shared" si="31"/>
        <v>0</v>
      </c>
      <c r="S99">
        <f t="shared" si="32"/>
        <v>0</v>
      </c>
      <c r="T99">
        <f t="shared" si="33"/>
        <v>0</v>
      </c>
      <c r="U99">
        <f t="shared" si="34"/>
        <v>1</v>
      </c>
      <c r="V99">
        <f t="shared" si="35"/>
        <v>0</v>
      </c>
      <c r="W99" t="str">
        <f>VLOOKUP(A99,[2]!Table2[[NCT Number]:[Intervention type]],11,FALSE)</f>
        <v>immunotherapy</v>
      </c>
      <c r="X99">
        <f t="shared" si="36"/>
        <v>1</v>
      </c>
      <c r="Y99">
        <f t="shared" si="37"/>
        <v>0</v>
      </c>
      <c r="Z99">
        <f t="shared" si="38"/>
        <v>0</v>
      </c>
      <c r="AA99">
        <f t="shared" si="39"/>
        <v>0</v>
      </c>
      <c r="AB99">
        <f t="shared" si="40"/>
        <v>0</v>
      </c>
      <c r="AC99">
        <f t="shared" si="41"/>
        <v>0</v>
      </c>
      <c r="AD99">
        <f t="shared" si="42"/>
        <v>0</v>
      </c>
      <c r="AE99">
        <f t="shared" si="43"/>
        <v>0</v>
      </c>
      <c r="AF99">
        <f>IF(ISNUMBER(SEARCH("endocrine", W99)), 1, 0)</f>
        <v>0</v>
      </c>
      <c r="AG99" t="s">
        <v>15</v>
      </c>
      <c r="AH99" t="s">
        <v>10</v>
      </c>
      <c r="AI99" t="s">
        <v>263</v>
      </c>
      <c r="AJ99">
        <f t="shared" si="44"/>
        <v>0</v>
      </c>
      <c r="AK99">
        <f t="shared" si="45"/>
        <v>0</v>
      </c>
      <c r="AL99">
        <f t="shared" si="46"/>
        <v>0</v>
      </c>
      <c r="AM99">
        <f t="shared" si="47"/>
        <v>0</v>
      </c>
      <c r="AN99">
        <f t="shared" si="48"/>
        <v>1</v>
      </c>
      <c r="AO99">
        <f t="shared" si="49"/>
        <v>0</v>
      </c>
      <c r="AP99" t="s">
        <v>12</v>
      </c>
      <c r="AQ99">
        <f t="shared" si="50"/>
        <v>1</v>
      </c>
      <c r="AR99">
        <f t="shared" si="51"/>
        <v>0</v>
      </c>
      <c r="AS99">
        <f t="shared" si="52"/>
        <v>0</v>
      </c>
      <c r="AT99">
        <f t="shared" si="53"/>
        <v>0</v>
      </c>
      <c r="AU99">
        <f t="shared" si="54"/>
        <v>0</v>
      </c>
    </row>
    <row r="100" spans="1:47" x14ac:dyDescent="0.2">
      <c r="A100" t="s">
        <v>130</v>
      </c>
      <c r="B100">
        <v>2020</v>
      </c>
      <c r="C100">
        <v>2016</v>
      </c>
      <c r="D100" t="s">
        <v>265</v>
      </c>
      <c r="E100">
        <v>0</v>
      </c>
      <c r="F100">
        <v>1</v>
      </c>
      <c r="G100">
        <v>0</v>
      </c>
      <c r="H100">
        <v>366</v>
      </c>
      <c r="I100">
        <v>10</v>
      </c>
      <c r="J100">
        <f t="shared" si="55"/>
        <v>2.7322404371584699</v>
      </c>
      <c r="K100">
        <v>330</v>
      </c>
      <c r="L100">
        <v>26</v>
      </c>
      <c r="M100">
        <v>0</v>
      </c>
      <c r="N100" t="s">
        <v>44</v>
      </c>
      <c r="O100">
        <f t="shared" si="28"/>
        <v>0</v>
      </c>
      <c r="P100">
        <f t="shared" si="29"/>
        <v>1</v>
      </c>
      <c r="Q100">
        <f t="shared" si="30"/>
        <v>0</v>
      </c>
      <c r="R100">
        <f t="shared" si="31"/>
        <v>1</v>
      </c>
      <c r="S100">
        <f t="shared" si="32"/>
        <v>0</v>
      </c>
      <c r="T100">
        <f t="shared" si="33"/>
        <v>0</v>
      </c>
      <c r="U100">
        <f t="shared" si="34"/>
        <v>0</v>
      </c>
      <c r="V100">
        <f t="shared" si="35"/>
        <v>0</v>
      </c>
      <c r="W100" t="str">
        <f>VLOOKUP(A100,[2]!Table2[[NCT Number]:[Intervention type]],11,FALSE)</f>
        <v>Targeted therapy</v>
      </c>
      <c r="X100">
        <f t="shared" si="36"/>
        <v>0</v>
      </c>
      <c r="Y100">
        <f t="shared" si="37"/>
        <v>1</v>
      </c>
      <c r="Z100">
        <f t="shared" si="38"/>
        <v>0</v>
      </c>
      <c r="AA100">
        <f t="shared" si="39"/>
        <v>0</v>
      </c>
      <c r="AB100">
        <f t="shared" si="40"/>
        <v>0</v>
      </c>
      <c r="AC100">
        <f t="shared" si="41"/>
        <v>0</v>
      </c>
      <c r="AD100">
        <f t="shared" si="42"/>
        <v>0</v>
      </c>
      <c r="AE100">
        <f t="shared" si="43"/>
        <v>0</v>
      </c>
      <c r="AF100">
        <f>IF(ISNUMBER(SEARCH("endocrine", W100)), 1, 0)</f>
        <v>0</v>
      </c>
      <c r="AG100" t="s">
        <v>15</v>
      </c>
      <c r="AH100" t="s">
        <v>10</v>
      </c>
      <c r="AI100" t="s">
        <v>263</v>
      </c>
      <c r="AJ100">
        <f t="shared" si="44"/>
        <v>0</v>
      </c>
      <c r="AK100">
        <f t="shared" si="45"/>
        <v>0</v>
      </c>
      <c r="AL100">
        <f t="shared" si="46"/>
        <v>0</v>
      </c>
      <c r="AM100">
        <f t="shared" si="47"/>
        <v>0</v>
      </c>
      <c r="AN100">
        <f t="shared" si="48"/>
        <v>1</v>
      </c>
      <c r="AO100">
        <f t="shared" si="49"/>
        <v>0</v>
      </c>
      <c r="AP100" t="s">
        <v>8</v>
      </c>
      <c r="AQ100">
        <f t="shared" si="50"/>
        <v>0</v>
      </c>
      <c r="AR100">
        <f t="shared" si="51"/>
        <v>0</v>
      </c>
      <c r="AS100">
        <f t="shared" si="52"/>
        <v>0</v>
      </c>
      <c r="AT100">
        <f t="shared" si="53"/>
        <v>0</v>
      </c>
      <c r="AU100">
        <f t="shared" si="54"/>
        <v>1</v>
      </c>
    </row>
    <row r="101" spans="1:47" x14ac:dyDescent="0.2">
      <c r="A101" t="s">
        <v>131</v>
      </c>
      <c r="B101">
        <v>2021</v>
      </c>
      <c r="C101">
        <v>2014</v>
      </c>
      <c r="D101" t="s">
        <v>264</v>
      </c>
      <c r="E101">
        <v>1</v>
      </c>
      <c r="F101">
        <v>0</v>
      </c>
      <c r="G101">
        <v>0</v>
      </c>
      <c r="H101">
        <v>367</v>
      </c>
      <c r="I101">
        <v>12</v>
      </c>
      <c r="J101">
        <f t="shared" si="55"/>
        <v>3.2697547683923704</v>
      </c>
      <c r="K101">
        <v>277</v>
      </c>
      <c r="L101">
        <v>78</v>
      </c>
      <c r="M101">
        <v>177</v>
      </c>
      <c r="N101" t="s">
        <v>6</v>
      </c>
      <c r="O101">
        <f t="shared" si="28"/>
        <v>0</v>
      </c>
      <c r="P101">
        <f t="shared" si="29"/>
        <v>1</v>
      </c>
      <c r="Q101">
        <f t="shared" si="30"/>
        <v>0</v>
      </c>
      <c r="R101">
        <f t="shared" si="31"/>
        <v>0</v>
      </c>
      <c r="S101">
        <f t="shared" si="32"/>
        <v>0</v>
      </c>
      <c r="T101">
        <f t="shared" si="33"/>
        <v>1</v>
      </c>
      <c r="U101">
        <f t="shared" si="34"/>
        <v>0</v>
      </c>
      <c r="V101">
        <f t="shared" si="35"/>
        <v>0</v>
      </c>
      <c r="W101" t="str">
        <f>VLOOKUP(A101,[2]!Table2[[NCT Number]:[Intervention type]],11,FALSE)</f>
        <v>Targeted therapy</v>
      </c>
      <c r="X101">
        <f t="shared" si="36"/>
        <v>0</v>
      </c>
      <c r="Y101">
        <f t="shared" si="37"/>
        <v>1</v>
      </c>
      <c r="Z101">
        <f t="shared" si="38"/>
        <v>0</v>
      </c>
      <c r="AA101">
        <f t="shared" si="39"/>
        <v>0</v>
      </c>
      <c r="AB101">
        <f t="shared" si="40"/>
        <v>0</v>
      </c>
      <c r="AC101">
        <f t="shared" si="41"/>
        <v>0</v>
      </c>
      <c r="AD101">
        <f t="shared" si="42"/>
        <v>0</v>
      </c>
      <c r="AE101">
        <f t="shared" si="43"/>
        <v>0</v>
      </c>
      <c r="AF101">
        <f>IF(ISNUMBER(SEARCH("endocrine", W101)), 1, 0)</f>
        <v>0</v>
      </c>
      <c r="AG101" t="s">
        <v>15</v>
      </c>
      <c r="AH101" t="s">
        <v>10</v>
      </c>
      <c r="AI101" t="s">
        <v>263</v>
      </c>
      <c r="AJ101">
        <f t="shared" si="44"/>
        <v>0</v>
      </c>
      <c r="AK101">
        <f t="shared" si="45"/>
        <v>0</v>
      </c>
      <c r="AL101">
        <f t="shared" si="46"/>
        <v>0</v>
      </c>
      <c r="AM101">
        <f t="shared" si="47"/>
        <v>0</v>
      </c>
      <c r="AN101">
        <f t="shared" si="48"/>
        <v>1</v>
      </c>
      <c r="AO101">
        <f t="shared" si="49"/>
        <v>0</v>
      </c>
      <c r="AP101" t="s">
        <v>12</v>
      </c>
      <c r="AQ101">
        <f t="shared" si="50"/>
        <v>1</v>
      </c>
      <c r="AR101">
        <f t="shared" si="51"/>
        <v>0</v>
      </c>
      <c r="AS101">
        <f t="shared" si="52"/>
        <v>0</v>
      </c>
      <c r="AT101">
        <f t="shared" si="53"/>
        <v>0</v>
      </c>
      <c r="AU101">
        <f t="shared" si="54"/>
        <v>0</v>
      </c>
    </row>
    <row r="102" spans="1:47" x14ac:dyDescent="0.2">
      <c r="A102" t="s">
        <v>132</v>
      </c>
      <c r="B102">
        <v>2023</v>
      </c>
      <c r="C102">
        <v>2017</v>
      </c>
      <c r="D102" t="s">
        <v>265</v>
      </c>
      <c r="E102">
        <v>0</v>
      </c>
      <c r="F102">
        <v>1</v>
      </c>
      <c r="G102">
        <v>0</v>
      </c>
      <c r="H102">
        <v>367</v>
      </c>
      <c r="I102">
        <v>0</v>
      </c>
      <c r="J102">
        <f t="shared" si="55"/>
        <v>0</v>
      </c>
      <c r="K102">
        <v>21</v>
      </c>
      <c r="L102">
        <v>346</v>
      </c>
      <c r="M102">
        <v>153</v>
      </c>
      <c r="N102" t="s">
        <v>18</v>
      </c>
      <c r="O102">
        <f t="shared" si="28"/>
        <v>0</v>
      </c>
      <c r="P102">
        <f t="shared" si="29"/>
        <v>0</v>
      </c>
      <c r="Q102">
        <f t="shared" si="30"/>
        <v>0</v>
      </c>
      <c r="R102">
        <f t="shared" si="31"/>
        <v>0</v>
      </c>
      <c r="S102">
        <f t="shared" si="32"/>
        <v>0</v>
      </c>
      <c r="T102">
        <f t="shared" si="33"/>
        <v>0</v>
      </c>
      <c r="U102">
        <f t="shared" si="34"/>
        <v>1</v>
      </c>
      <c r="V102">
        <f t="shared" si="35"/>
        <v>0</v>
      </c>
      <c r="W102" t="str">
        <f>VLOOKUP(A102,[2]!Table2[[NCT Number]:[Intervention type]],11,FALSE)</f>
        <v>immunotherapy+chemo</v>
      </c>
      <c r="X102">
        <f t="shared" si="36"/>
        <v>1</v>
      </c>
      <c r="Y102">
        <f t="shared" si="37"/>
        <v>0</v>
      </c>
      <c r="Z102">
        <f t="shared" si="38"/>
        <v>0</v>
      </c>
      <c r="AA102">
        <f t="shared" si="39"/>
        <v>0</v>
      </c>
      <c r="AB102">
        <f t="shared" si="40"/>
        <v>0</v>
      </c>
      <c r="AC102">
        <f t="shared" si="41"/>
        <v>0</v>
      </c>
      <c r="AD102">
        <f t="shared" si="42"/>
        <v>0</v>
      </c>
      <c r="AE102">
        <f t="shared" si="43"/>
        <v>1</v>
      </c>
      <c r="AF102">
        <f>IF(ISNUMBER(SEARCH("endocrine", W102)), 1, 0)</f>
        <v>0</v>
      </c>
      <c r="AG102" t="s">
        <v>9</v>
      </c>
      <c r="AH102" t="s">
        <v>10</v>
      </c>
      <c r="AI102" t="s">
        <v>263</v>
      </c>
      <c r="AJ102">
        <f t="shared" si="44"/>
        <v>0</v>
      </c>
      <c r="AK102">
        <f t="shared" si="45"/>
        <v>0</v>
      </c>
      <c r="AL102">
        <f t="shared" si="46"/>
        <v>0</v>
      </c>
      <c r="AM102">
        <f t="shared" si="47"/>
        <v>0</v>
      </c>
      <c r="AN102">
        <f t="shared" si="48"/>
        <v>1</v>
      </c>
      <c r="AO102">
        <f t="shared" si="49"/>
        <v>0</v>
      </c>
      <c r="AP102" t="s">
        <v>12</v>
      </c>
      <c r="AQ102">
        <f t="shared" si="50"/>
        <v>1</v>
      </c>
      <c r="AR102">
        <f t="shared" si="51"/>
        <v>0</v>
      </c>
      <c r="AS102">
        <f t="shared" si="52"/>
        <v>0</v>
      </c>
      <c r="AT102">
        <f t="shared" si="53"/>
        <v>0</v>
      </c>
      <c r="AU102">
        <f t="shared" si="54"/>
        <v>0</v>
      </c>
    </row>
    <row r="103" spans="1:47" x14ac:dyDescent="0.2">
      <c r="A103" t="s">
        <v>133</v>
      </c>
      <c r="B103">
        <v>2019</v>
      </c>
      <c r="C103">
        <v>2015</v>
      </c>
      <c r="D103" t="s">
        <v>264</v>
      </c>
      <c r="E103">
        <v>1</v>
      </c>
      <c r="F103">
        <v>0</v>
      </c>
      <c r="G103">
        <v>0</v>
      </c>
      <c r="H103">
        <v>371</v>
      </c>
      <c r="I103">
        <v>2</v>
      </c>
      <c r="J103">
        <f t="shared" si="55"/>
        <v>0.53908355795148244</v>
      </c>
      <c r="K103">
        <v>94</v>
      </c>
      <c r="L103">
        <v>275</v>
      </c>
      <c r="M103">
        <v>267</v>
      </c>
      <c r="N103" t="s">
        <v>56</v>
      </c>
      <c r="O103">
        <f t="shared" si="28"/>
        <v>0</v>
      </c>
      <c r="P103">
        <f t="shared" si="29"/>
        <v>1</v>
      </c>
      <c r="Q103">
        <f t="shared" si="30"/>
        <v>0</v>
      </c>
      <c r="R103">
        <f t="shared" si="31"/>
        <v>0</v>
      </c>
      <c r="S103">
        <f t="shared" si="32"/>
        <v>0</v>
      </c>
      <c r="T103">
        <f t="shared" si="33"/>
        <v>0</v>
      </c>
      <c r="U103">
        <f t="shared" si="34"/>
        <v>0</v>
      </c>
      <c r="V103">
        <f t="shared" si="35"/>
        <v>0</v>
      </c>
      <c r="W103" t="str">
        <f>VLOOKUP(A103,[2]!Table2[[NCT Number]:[Intervention type]],11,FALSE)</f>
        <v>immunotherapy</v>
      </c>
      <c r="X103">
        <f t="shared" si="36"/>
        <v>1</v>
      </c>
      <c r="Y103">
        <f t="shared" si="37"/>
        <v>0</v>
      </c>
      <c r="Z103">
        <f t="shared" si="38"/>
        <v>0</v>
      </c>
      <c r="AA103">
        <f t="shared" si="39"/>
        <v>0</v>
      </c>
      <c r="AB103">
        <f t="shared" si="40"/>
        <v>0</v>
      </c>
      <c r="AC103">
        <f t="shared" si="41"/>
        <v>0</v>
      </c>
      <c r="AD103">
        <f t="shared" si="42"/>
        <v>0</v>
      </c>
      <c r="AE103">
        <f t="shared" si="43"/>
        <v>0</v>
      </c>
      <c r="AF103">
        <f>IF(ISNUMBER(SEARCH("endocrine", W103)), 1, 0)</f>
        <v>0</v>
      </c>
      <c r="AG103" t="s">
        <v>9</v>
      </c>
      <c r="AH103" t="s">
        <v>10</v>
      </c>
      <c r="AI103" t="s">
        <v>11</v>
      </c>
      <c r="AJ103">
        <f t="shared" si="44"/>
        <v>0</v>
      </c>
      <c r="AK103">
        <f t="shared" si="45"/>
        <v>1</v>
      </c>
      <c r="AL103">
        <f t="shared" si="46"/>
        <v>0</v>
      </c>
      <c r="AM103">
        <f t="shared" si="47"/>
        <v>0</v>
      </c>
      <c r="AN103">
        <f t="shared" si="48"/>
        <v>0</v>
      </c>
      <c r="AO103">
        <f t="shared" si="49"/>
        <v>0</v>
      </c>
      <c r="AP103" t="s">
        <v>12</v>
      </c>
      <c r="AQ103">
        <f t="shared" si="50"/>
        <v>1</v>
      </c>
      <c r="AR103">
        <f t="shared" si="51"/>
        <v>0</v>
      </c>
      <c r="AS103">
        <f t="shared" si="52"/>
        <v>0</v>
      </c>
      <c r="AT103">
        <f t="shared" si="53"/>
        <v>0</v>
      </c>
      <c r="AU103">
        <f t="shared" si="54"/>
        <v>0</v>
      </c>
    </row>
    <row r="104" spans="1:47" x14ac:dyDescent="0.2">
      <c r="A104" t="s">
        <v>134</v>
      </c>
      <c r="B104">
        <v>2021</v>
      </c>
      <c r="C104">
        <v>2016</v>
      </c>
      <c r="D104" t="s">
        <v>265</v>
      </c>
      <c r="E104">
        <v>0</v>
      </c>
      <c r="F104">
        <v>1</v>
      </c>
      <c r="G104">
        <v>0</v>
      </c>
      <c r="H104">
        <v>387</v>
      </c>
      <c r="I104">
        <v>3</v>
      </c>
      <c r="J104">
        <f t="shared" si="55"/>
        <v>0.77519379844961245</v>
      </c>
      <c r="K104">
        <v>367</v>
      </c>
      <c r="L104">
        <v>17</v>
      </c>
      <c r="M104">
        <v>224</v>
      </c>
      <c r="N104" t="s">
        <v>21</v>
      </c>
      <c r="O104">
        <f t="shared" si="28"/>
        <v>0</v>
      </c>
      <c r="P104">
        <f t="shared" si="29"/>
        <v>0</v>
      </c>
      <c r="Q104">
        <f t="shared" si="30"/>
        <v>0</v>
      </c>
      <c r="R104">
        <f t="shared" si="31"/>
        <v>0</v>
      </c>
      <c r="S104">
        <f t="shared" si="32"/>
        <v>0</v>
      </c>
      <c r="T104">
        <f t="shared" si="33"/>
        <v>0</v>
      </c>
      <c r="U104">
        <f t="shared" si="34"/>
        <v>0</v>
      </c>
      <c r="V104">
        <f t="shared" si="35"/>
        <v>1</v>
      </c>
      <c r="W104" t="str">
        <f>VLOOKUP(A104,[2]!Table2[[NCT Number]:[Intervention type]],11,FALSE)</f>
        <v>immunotherapy</v>
      </c>
      <c r="X104">
        <f t="shared" si="36"/>
        <v>1</v>
      </c>
      <c r="Y104">
        <f t="shared" si="37"/>
        <v>0</v>
      </c>
      <c r="Z104">
        <f t="shared" si="38"/>
        <v>0</v>
      </c>
      <c r="AA104">
        <f t="shared" si="39"/>
        <v>0</v>
      </c>
      <c r="AB104">
        <f t="shared" si="40"/>
        <v>0</v>
      </c>
      <c r="AC104">
        <f t="shared" si="41"/>
        <v>0</v>
      </c>
      <c r="AD104">
        <f t="shared" si="42"/>
        <v>0</v>
      </c>
      <c r="AE104">
        <f t="shared" si="43"/>
        <v>0</v>
      </c>
      <c r="AF104">
        <f>IF(ISNUMBER(SEARCH("endocrine", W104)), 1, 0)</f>
        <v>0</v>
      </c>
      <c r="AG104" t="s">
        <v>9</v>
      </c>
      <c r="AH104" t="s">
        <v>10</v>
      </c>
      <c r="AI104" t="s">
        <v>263</v>
      </c>
      <c r="AJ104">
        <f t="shared" si="44"/>
        <v>0</v>
      </c>
      <c r="AK104">
        <f t="shared" si="45"/>
        <v>0</v>
      </c>
      <c r="AL104">
        <f t="shared" si="46"/>
        <v>0</v>
      </c>
      <c r="AM104">
        <f t="shared" si="47"/>
        <v>0</v>
      </c>
      <c r="AN104">
        <f t="shared" si="48"/>
        <v>1</v>
      </c>
      <c r="AO104">
        <f t="shared" si="49"/>
        <v>0</v>
      </c>
      <c r="AP104" t="s">
        <v>8</v>
      </c>
      <c r="AQ104">
        <f t="shared" si="50"/>
        <v>0</v>
      </c>
      <c r="AR104">
        <f t="shared" si="51"/>
        <v>0</v>
      </c>
      <c r="AS104">
        <f t="shared" si="52"/>
        <v>0</v>
      </c>
      <c r="AT104">
        <f t="shared" si="53"/>
        <v>0</v>
      </c>
      <c r="AU104">
        <f t="shared" si="54"/>
        <v>1</v>
      </c>
    </row>
    <row r="105" spans="1:47" x14ac:dyDescent="0.2">
      <c r="A105" t="s">
        <v>135</v>
      </c>
      <c r="B105">
        <v>2023</v>
      </c>
      <c r="C105">
        <v>2017</v>
      </c>
      <c r="D105" t="s">
        <v>265</v>
      </c>
      <c r="E105">
        <v>0</v>
      </c>
      <c r="F105">
        <v>1</v>
      </c>
      <c r="G105">
        <v>0</v>
      </c>
      <c r="H105">
        <v>387</v>
      </c>
      <c r="I105">
        <v>8</v>
      </c>
      <c r="J105">
        <f t="shared" si="55"/>
        <v>2.0671834625322996</v>
      </c>
      <c r="K105">
        <v>248</v>
      </c>
      <c r="L105">
        <v>131</v>
      </c>
      <c r="M105">
        <v>387</v>
      </c>
      <c r="N105" t="s">
        <v>30</v>
      </c>
      <c r="O105">
        <f t="shared" si="28"/>
        <v>0</v>
      </c>
      <c r="P105">
        <f t="shared" si="29"/>
        <v>0</v>
      </c>
      <c r="Q105">
        <f t="shared" si="30"/>
        <v>1</v>
      </c>
      <c r="R105">
        <f t="shared" si="31"/>
        <v>0</v>
      </c>
      <c r="S105">
        <f t="shared" si="32"/>
        <v>0</v>
      </c>
      <c r="T105">
        <f t="shared" si="33"/>
        <v>0</v>
      </c>
      <c r="U105">
        <f t="shared" si="34"/>
        <v>0</v>
      </c>
      <c r="V105">
        <f t="shared" si="35"/>
        <v>0</v>
      </c>
      <c r="W105" t="str">
        <f>VLOOKUP(A105,[2]!Table2[[NCT Number]:[Intervention type]],11,FALSE)</f>
        <v>Targeted therapy</v>
      </c>
      <c r="X105">
        <f t="shared" si="36"/>
        <v>0</v>
      </c>
      <c r="Y105">
        <f t="shared" si="37"/>
        <v>1</v>
      </c>
      <c r="Z105">
        <f t="shared" si="38"/>
        <v>0</v>
      </c>
      <c r="AA105">
        <f t="shared" si="39"/>
        <v>0</v>
      </c>
      <c r="AB105">
        <f t="shared" si="40"/>
        <v>0</v>
      </c>
      <c r="AC105">
        <f t="shared" si="41"/>
        <v>0</v>
      </c>
      <c r="AD105">
        <f t="shared" si="42"/>
        <v>0</v>
      </c>
      <c r="AE105">
        <f t="shared" si="43"/>
        <v>0</v>
      </c>
      <c r="AF105">
        <f>IF(ISNUMBER(SEARCH("endocrine", W105)), 1, 0)</f>
        <v>0</v>
      </c>
      <c r="AG105" t="s">
        <v>15</v>
      </c>
      <c r="AH105" t="s">
        <v>10</v>
      </c>
      <c r="AI105" t="s">
        <v>11</v>
      </c>
      <c r="AJ105">
        <f t="shared" si="44"/>
        <v>0</v>
      </c>
      <c r="AK105">
        <f t="shared" si="45"/>
        <v>1</v>
      </c>
      <c r="AL105">
        <f t="shared" si="46"/>
        <v>0</v>
      </c>
      <c r="AM105">
        <f t="shared" si="47"/>
        <v>0</v>
      </c>
      <c r="AN105">
        <f t="shared" si="48"/>
        <v>0</v>
      </c>
      <c r="AO105">
        <f t="shared" si="49"/>
        <v>0</v>
      </c>
      <c r="AP105" t="s">
        <v>12</v>
      </c>
      <c r="AQ105">
        <f t="shared" si="50"/>
        <v>1</v>
      </c>
      <c r="AR105">
        <f t="shared" si="51"/>
        <v>0</v>
      </c>
      <c r="AS105">
        <f t="shared" si="52"/>
        <v>0</v>
      </c>
      <c r="AT105">
        <f t="shared" si="53"/>
        <v>0</v>
      </c>
      <c r="AU105">
        <f t="shared" si="54"/>
        <v>0</v>
      </c>
    </row>
    <row r="106" spans="1:47" x14ac:dyDescent="0.2">
      <c r="A106" t="s">
        <v>136</v>
      </c>
      <c r="B106">
        <v>2023</v>
      </c>
      <c r="C106">
        <v>2014</v>
      </c>
      <c r="D106" t="s">
        <v>264</v>
      </c>
      <c r="E106">
        <v>1</v>
      </c>
      <c r="F106">
        <v>0</v>
      </c>
      <c r="G106">
        <v>0</v>
      </c>
      <c r="H106">
        <v>389</v>
      </c>
      <c r="I106">
        <v>2</v>
      </c>
      <c r="J106">
        <f t="shared" si="55"/>
        <v>0.51413881748071977</v>
      </c>
      <c r="K106">
        <v>359</v>
      </c>
      <c r="L106">
        <v>28</v>
      </c>
      <c r="M106">
        <v>287</v>
      </c>
      <c r="N106" t="s">
        <v>6</v>
      </c>
      <c r="O106">
        <f t="shared" si="28"/>
        <v>0</v>
      </c>
      <c r="P106">
        <f t="shared" si="29"/>
        <v>1</v>
      </c>
      <c r="Q106">
        <f t="shared" si="30"/>
        <v>0</v>
      </c>
      <c r="R106">
        <f t="shared" si="31"/>
        <v>0</v>
      </c>
      <c r="S106">
        <f t="shared" si="32"/>
        <v>0</v>
      </c>
      <c r="T106">
        <f t="shared" si="33"/>
        <v>1</v>
      </c>
      <c r="U106">
        <f t="shared" si="34"/>
        <v>0</v>
      </c>
      <c r="V106">
        <f t="shared" si="35"/>
        <v>0</v>
      </c>
      <c r="W106" t="str">
        <f>VLOOKUP(A106,[2]!Table2[[NCT Number]:[Intervention type]],11,FALSE)</f>
        <v>Targeted therapy</v>
      </c>
      <c r="X106">
        <f t="shared" si="36"/>
        <v>0</v>
      </c>
      <c r="Y106">
        <f t="shared" si="37"/>
        <v>1</v>
      </c>
      <c r="Z106">
        <f t="shared" si="38"/>
        <v>0</v>
      </c>
      <c r="AA106">
        <f t="shared" si="39"/>
        <v>0</v>
      </c>
      <c r="AB106">
        <f t="shared" si="40"/>
        <v>0</v>
      </c>
      <c r="AC106">
        <f t="shared" si="41"/>
        <v>0</v>
      </c>
      <c r="AD106">
        <f t="shared" si="42"/>
        <v>0</v>
      </c>
      <c r="AE106">
        <f t="shared" si="43"/>
        <v>0</v>
      </c>
      <c r="AF106">
        <f>IF(ISNUMBER(SEARCH("endocrine", W106)), 1, 0)</f>
        <v>0</v>
      </c>
      <c r="AG106" t="s">
        <v>9</v>
      </c>
      <c r="AH106" t="s">
        <v>10</v>
      </c>
      <c r="AI106" t="s">
        <v>11</v>
      </c>
      <c r="AJ106">
        <f t="shared" si="44"/>
        <v>0</v>
      </c>
      <c r="AK106">
        <f t="shared" si="45"/>
        <v>1</v>
      </c>
      <c r="AL106">
        <f t="shared" si="46"/>
        <v>0</v>
      </c>
      <c r="AM106">
        <f t="shared" si="47"/>
        <v>0</v>
      </c>
      <c r="AN106">
        <f t="shared" si="48"/>
        <v>0</v>
      </c>
      <c r="AO106">
        <f t="shared" si="49"/>
        <v>0</v>
      </c>
      <c r="AP106" t="s">
        <v>12</v>
      </c>
      <c r="AQ106">
        <f t="shared" si="50"/>
        <v>1</v>
      </c>
      <c r="AR106">
        <f t="shared" si="51"/>
        <v>0</v>
      </c>
      <c r="AS106">
        <f t="shared" si="52"/>
        <v>0</v>
      </c>
      <c r="AT106">
        <f t="shared" si="53"/>
        <v>0</v>
      </c>
      <c r="AU106">
        <f t="shared" si="54"/>
        <v>0</v>
      </c>
    </row>
    <row r="107" spans="1:47" x14ac:dyDescent="0.2">
      <c r="A107" t="s">
        <v>137</v>
      </c>
      <c r="B107">
        <v>2019</v>
      </c>
      <c r="C107">
        <v>2014</v>
      </c>
      <c r="D107" t="s">
        <v>264</v>
      </c>
      <c r="E107">
        <v>1</v>
      </c>
      <c r="F107">
        <v>0</v>
      </c>
      <c r="G107">
        <v>0</v>
      </c>
      <c r="H107">
        <v>394</v>
      </c>
      <c r="I107">
        <v>1</v>
      </c>
      <c r="J107">
        <f t="shared" si="55"/>
        <v>0.25380710659898476</v>
      </c>
      <c r="K107">
        <v>304</v>
      </c>
      <c r="L107">
        <v>89</v>
      </c>
      <c r="M107">
        <v>178</v>
      </c>
      <c r="N107" t="s">
        <v>6</v>
      </c>
      <c r="O107">
        <f t="shared" si="28"/>
        <v>0</v>
      </c>
      <c r="P107">
        <f t="shared" si="29"/>
        <v>1</v>
      </c>
      <c r="Q107">
        <f t="shared" si="30"/>
        <v>0</v>
      </c>
      <c r="R107">
        <f t="shared" si="31"/>
        <v>0</v>
      </c>
      <c r="S107">
        <f t="shared" si="32"/>
        <v>0</v>
      </c>
      <c r="T107">
        <f t="shared" si="33"/>
        <v>1</v>
      </c>
      <c r="U107">
        <f t="shared" si="34"/>
        <v>0</v>
      </c>
      <c r="V107">
        <f t="shared" si="35"/>
        <v>0</v>
      </c>
      <c r="W107" t="str">
        <f>VLOOKUP(A107,[2]!Table2[[NCT Number]:[Intervention type]],11,FALSE)</f>
        <v>Targeted therapy</v>
      </c>
      <c r="X107">
        <f t="shared" si="36"/>
        <v>0</v>
      </c>
      <c r="Y107">
        <f t="shared" si="37"/>
        <v>1</v>
      </c>
      <c r="Z107">
        <f t="shared" si="38"/>
        <v>0</v>
      </c>
      <c r="AA107">
        <f t="shared" si="39"/>
        <v>0</v>
      </c>
      <c r="AB107">
        <f t="shared" si="40"/>
        <v>0</v>
      </c>
      <c r="AC107">
        <f t="shared" si="41"/>
        <v>0</v>
      </c>
      <c r="AD107">
        <f t="shared" si="42"/>
        <v>0</v>
      </c>
      <c r="AE107">
        <f t="shared" si="43"/>
        <v>0</v>
      </c>
      <c r="AF107">
        <f>IF(ISNUMBER(SEARCH("endocrine", W107)), 1, 0)</f>
        <v>0</v>
      </c>
      <c r="AG107" t="s">
        <v>15</v>
      </c>
      <c r="AH107" t="s">
        <v>10</v>
      </c>
      <c r="AI107" t="s">
        <v>8</v>
      </c>
      <c r="AJ107">
        <f t="shared" si="44"/>
        <v>0</v>
      </c>
      <c r="AK107">
        <f t="shared" si="45"/>
        <v>0</v>
      </c>
      <c r="AL107">
        <f t="shared" si="46"/>
        <v>0</v>
      </c>
      <c r="AM107">
        <f t="shared" si="47"/>
        <v>0</v>
      </c>
      <c r="AN107">
        <f t="shared" si="48"/>
        <v>0</v>
      </c>
      <c r="AO107">
        <f t="shared" si="49"/>
        <v>1</v>
      </c>
      <c r="AP107" t="s">
        <v>8</v>
      </c>
      <c r="AQ107">
        <f t="shared" si="50"/>
        <v>0</v>
      </c>
      <c r="AR107">
        <f t="shared" si="51"/>
        <v>0</v>
      </c>
      <c r="AS107">
        <f t="shared" si="52"/>
        <v>0</v>
      </c>
      <c r="AT107">
        <f t="shared" si="53"/>
        <v>0</v>
      </c>
      <c r="AU107">
        <f t="shared" si="54"/>
        <v>1</v>
      </c>
    </row>
    <row r="108" spans="1:47" x14ac:dyDescent="0.2">
      <c r="A108" t="s">
        <v>138</v>
      </c>
      <c r="B108">
        <v>2023</v>
      </c>
      <c r="C108">
        <v>2018</v>
      </c>
      <c r="D108" t="s">
        <v>265</v>
      </c>
      <c r="E108">
        <v>0</v>
      </c>
      <c r="F108">
        <v>1</v>
      </c>
      <c r="G108">
        <v>0</v>
      </c>
      <c r="H108">
        <v>397</v>
      </c>
      <c r="I108">
        <v>0</v>
      </c>
      <c r="J108">
        <f t="shared" si="55"/>
        <v>0</v>
      </c>
      <c r="K108">
        <v>0</v>
      </c>
      <c r="L108">
        <v>397</v>
      </c>
      <c r="M108">
        <v>303</v>
      </c>
      <c r="N108" t="s">
        <v>18</v>
      </c>
      <c r="O108">
        <f t="shared" si="28"/>
        <v>0</v>
      </c>
      <c r="P108">
        <f t="shared" si="29"/>
        <v>0</v>
      </c>
      <c r="Q108">
        <f t="shared" si="30"/>
        <v>0</v>
      </c>
      <c r="R108">
        <f t="shared" si="31"/>
        <v>0</v>
      </c>
      <c r="S108">
        <f t="shared" si="32"/>
        <v>0</v>
      </c>
      <c r="T108">
        <f t="shared" si="33"/>
        <v>0</v>
      </c>
      <c r="U108">
        <f t="shared" si="34"/>
        <v>1</v>
      </c>
      <c r="V108">
        <f t="shared" si="35"/>
        <v>0</v>
      </c>
      <c r="W108" t="str">
        <f>VLOOKUP(A108,[2]!Table2[[NCT Number]:[Intervention type]],11,FALSE)</f>
        <v>immunotherapy+chemo</v>
      </c>
      <c r="X108">
        <f t="shared" si="36"/>
        <v>1</v>
      </c>
      <c r="Y108">
        <f t="shared" si="37"/>
        <v>0</v>
      </c>
      <c r="Z108">
        <f t="shared" si="38"/>
        <v>0</v>
      </c>
      <c r="AA108">
        <f t="shared" si="39"/>
        <v>0</v>
      </c>
      <c r="AB108">
        <f t="shared" si="40"/>
        <v>0</v>
      </c>
      <c r="AC108">
        <f t="shared" si="41"/>
        <v>0</v>
      </c>
      <c r="AD108">
        <f t="shared" si="42"/>
        <v>0</v>
      </c>
      <c r="AE108">
        <f t="shared" si="43"/>
        <v>1</v>
      </c>
      <c r="AF108">
        <f>IF(ISNUMBER(SEARCH("endocrine", W108)), 1, 0)</f>
        <v>0</v>
      </c>
      <c r="AG108" t="s">
        <v>9</v>
      </c>
      <c r="AH108" t="s">
        <v>10</v>
      </c>
      <c r="AI108" t="s">
        <v>263</v>
      </c>
      <c r="AJ108">
        <f t="shared" si="44"/>
        <v>0</v>
      </c>
      <c r="AK108">
        <f t="shared" si="45"/>
        <v>0</v>
      </c>
      <c r="AL108">
        <f t="shared" si="46"/>
        <v>0</v>
      </c>
      <c r="AM108">
        <f t="shared" si="47"/>
        <v>0</v>
      </c>
      <c r="AN108">
        <f t="shared" si="48"/>
        <v>1</v>
      </c>
      <c r="AO108">
        <f t="shared" si="49"/>
        <v>0</v>
      </c>
      <c r="AP108" t="s">
        <v>12</v>
      </c>
      <c r="AQ108">
        <f t="shared" si="50"/>
        <v>1</v>
      </c>
      <c r="AR108">
        <f t="shared" si="51"/>
        <v>0</v>
      </c>
      <c r="AS108">
        <f t="shared" si="52"/>
        <v>0</v>
      </c>
      <c r="AT108">
        <f t="shared" si="53"/>
        <v>0</v>
      </c>
      <c r="AU108">
        <f t="shared" si="54"/>
        <v>0</v>
      </c>
    </row>
    <row r="109" spans="1:47" x14ac:dyDescent="0.2">
      <c r="A109" t="s">
        <v>139</v>
      </c>
      <c r="B109">
        <v>2023</v>
      </c>
      <c r="C109">
        <v>2015</v>
      </c>
      <c r="D109" t="s">
        <v>264</v>
      </c>
      <c r="E109">
        <v>1</v>
      </c>
      <c r="F109">
        <v>0</v>
      </c>
      <c r="G109">
        <v>0</v>
      </c>
      <c r="H109">
        <v>399</v>
      </c>
      <c r="I109">
        <v>6</v>
      </c>
      <c r="J109">
        <f t="shared" si="55"/>
        <v>1.5037593984962405</v>
      </c>
      <c r="K109">
        <v>104</v>
      </c>
      <c r="L109">
        <v>300</v>
      </c>
      <c r="M109">
        <v>326</v>
      </c>
      <c r="N109" t="s">
        <v>56</v>
      </c>
      <c r="O109">
        <f t="shared" si="28"/>
        <v>0</v>
      </c>
      <c r="P109">
        <f t="shared" si="29"/>
        <v>1</v>
      </c>
      <c r="Q109">
        <f t="shared" si="30"/>
        <v>0</v>
      </c>
      <c r="R109">
        <f t="shared" si="31"/>
        <v>0</v>
      </c>
      <c r="S109">
        <f t="shared" si="32"/>
        <v>0</v>
      </c>
      <c r="T109">
        <f t="shared" si="33"/>
        <v>0</v>
      </c>
      <c r="U109">
        <f t="shared" si="34"/>
        <v>0</v>
      </c>
      <c r="V109">
        <f t="shared" si="35"/>
        <v>0</v>
      </c>
      <c r="W109" t="str">
        <f>VLOOKUP(A109,[2]!Table2[[NCT Number]:[Intervention type]],11,FALSE)</f>
        <v>Targeted therapy</v>
      </c>
      <c r="X109">
        <f t="shared" si="36"/>
        <v>0</v>
      </c>
      <c r="Y109">
        <f t="shared" si="37"/>
        <v>1</v>
      </c>
      <c r="Z109">
        <f t="shared" si="38"/>
        <v>0</v>
      </c>
      <c r="AA109">
        <f t="shared" si="39"/>
        <v>0</v>
      </c>
      <c r="AB109">
        <f t="shared" si="40"/>
        <v>0</v>
      </c>
      <c r="AC109">
        <f t="shared" si="41"/>
        <v>0</v>
      </c>
      <c r="AD109">
        <f t="shared" si="42"/>
        <v>0</v>
      </c>
      <c r="AE109">
        <f t="shared" si="43"/>
        <v>0</v>
      </c>
      <c r="AF109">
        <f>IF(ISNUMBER(SEARCH("endocrine", W109)), 1, 0)</f>
        <v>0</v>
      </c>
      <c r="AG109" t="s">
        <v>15</v>
      </c>
      <c r="AH109" t="s">
        <v>10</v>
      </c>
      <c r="AI109" t="s">
        <v>263</v>
      </c>
      <c r="AJ109">
        <f t="shared" si="44"/>
        <v>0</v>
      </c>
      <c r="AK109">
        <f t="shared" si="45"/>
        <v>0</v>
      </c>
      <c r="AL109">
        <f t="shared" si="46"/>
        <v>0</v>
      </c>
      <c r="AM109">
        <f t="shared" si="47"/>
        <v>0</v>
      </c>
      <c r="AN109">
        <f t="shared" si="48"/>
        <v>1</v>
      </c>
      <c r="AO109">
        <f t="shared" si="49"/>
        <v>0</v>
      </c>
      <c r="AP109" t="s">
        <v>86</v>
      </c>
      <c r="AQ109">
        <f t="shared" si="50"/>
        <v>0</v>
      </c>
      <c r="AR109">
        <f t="shared" si="51"/>
        <v>0</v>
      </c>
      <c r="AS109">
        <f t="shared" si="52"/>
        <v>0</v>
      </c>
      <c r="AT109">
        <f t="shared" si="53"/>
        <v>1</v>
      </c>
      <c r="AU109">
        <f t="shared" si="54"/>
        <v>0</v>
      </c>
    </row>
    <row r="110" spans="1:47" x14ac:dyDescent="0.2">
      <c r="A110" t="s">
        <v>140</v>
      </c>
      <c r="B110">
        <v>2023</v>
      </c>
      <c r="C110">
        <v>2014</v>
      </c>
      <c r="D110" t="s">
        <v>264</v>
      </c>
      <c r="E110">
        <v>1</v>
      </c>
      <c r="F110">
        <v>0</v>
      </c>
      <c r="G110">
        <v>0</v>
      </c>
      <c r="H110">
        <v>403</v>
      </c>
      <c r="I110">
        <v>4</v>
      </c>
      <c r="J110">
        <f t="shared" si="55"/>
        <v>0.99255583126550873</v>
      </c>
      <c r="K110">
        <v>261</v>
      </c>
      <c r="L110">
        <v>138</v>
      </c>
      <c r="M110">
        <v>212</v>
      </c>
      <c r="N110" t="s">
        <v>6</v>
      </c>
      <c r="O110">
        <f t="shared" si="28"/>
        <v>0</v>
      </c>
      <c r="P110">
        <f t="shared" si="29"/>
        <v>1</v>
      </c>
      <c r="Q110">
        <f t="shared" si="30"/>
        <v>0</v>
      </c>
      <c r="R110">
        <f t="shared" si="31"/>
        <v>0</v>
      </c>
      <c r="S110">
        <f t="shared" si="32"/>
        <v>0</v>
      </c>
      <c r="T110">
        <f t="shared" si="33"/>
        <v>1</v>
      </c>
      <c r="U110">
        <f t="shared" si="34"/>
        <v>0</v>
      </c>
      <c r="V110">
        <f t="shared" si="35"/>
        <v>0</v>
      </c>
      <c r="W110" t="str">
        <f>VLOOKUP(A110,[2]!Table2[[NCT Number]:[Intervention type]],11,FALSE)</f>
        <v>Targeted therapy+chemo</v>
      </c>
      <c r="X110">
        <f t="shared" si="36"/>
        <v>0</v>
      </c>
      <c r="Y110">
        <f t="shared" si="37"/>
        <v>1</v>
      </c>
      <c r="Z110">
        <f t="shared" si="38"/>
        <v>0</v>
      </c>
      <c r="AA110">
        <f t="shared" si="39"/>
        <v>0</v>
      </c>
      <c r="AB110">
        <f t="shared" si="40"/>
        <v>0</v>
      </c>
      <c r="AC110">
        <f t="shared" si="41"/>
        <v>0</v>
      </c>
      <c r="AD110">
        <f t="shared" si="42"/>
        <v>1</v>
      </c>
      <c r="AE110">
        <f t="shared" si="43"/>
        <v>0</v>
      </c>
      <c r="AF110">
        <f>IF(ISNUMBER(SEARCH("endocrine", W110)), 1, 0)</f>
        <v>0</v>
      </c>
      <c r="AG110" t="s">
        <v>9</v>
      </c>
      <c r="AH110" t="s">
        <v>10</v>
      </c>
      <c r="AI110" t="s">
        <v>263</v>
      </c>
      <c r="AJ110">
        <f t="shared" si="44"/>
        <v>0</v>
      </c>
      <c r="AK110">
        <f t="shared" si="45"/>
        <v>0</v>
      </c>
      <c r="AL110">
        <f t="shared" si="46"/>
        <v>0</v>
      </c>
      <c r="AM110">
        <f t="shared" si="47"/>
        <v>0</v>
      </c>
      <c r="AN110">
        <f t="shared" si="48"/>
        <v>1</v>
      </c>
      <c r="AO110">
        <f t="shared" si="49"/>
        <v>0</v>
      </c>
      <c r="AP110" t="s">
        <v>12</v>
      </c>
      <c r="AQ110">
        <f t="shared" si="50"/>
        <v>1</v>
      </c>
      <c r="AR110">
        <f t="shared" si="51"/>
        <v>0</v>
      </c>
      <c r="AS110">
        <f t="shared" si="52"/>
        <v>0</v>
      </c>
      <c r="AT110">
        <f t="shared" si="53"/>
        <v>0</v>
      </c>
      <c r="AU110">
        <f t="shared" si="54"/>
        <v>0</v>
      </c>
    </row>
    <row r="111" spans="1:47" x14ac:dyDescent="0.2">
      <c r="A111" t="s">
        <v>141</v>
      </c>
      <c r="B111">
        <v>2021</v>
      </c>
      <c r="C111">
        <v>2016</v>
      </c>
      <c r="D111" t="s">
        <v>265</v>
      </c>
      <c r="E111">
        <v>0</v>
      </c>
      <c r="F111">
        <v>1</v>
      </c>
      <c r="G111">
        <v>0</v>
      </c>
      <c r="H111">
        <v>413</v>
      </c>
      <c r="I111">
        <v>19</v>
      </c>
      <c r="J111">
        <f t="shared" si="55"/>
        <v>4.6004842615012107</v>
      </c>
      <c r="K111">
        <v>213</v>
      </c>
      <c r="L111">
        <v>181</v>
      </c>
      <c r="M111">
        <v>338</v>
      </c>
      <c r="N111" t="s">
        <v>56</v>
      </c>
      <c r="O111">
        <f t="shared" si="28"/>
        <v>0</v>
      </c>
      <c r="P111">
        <f t="shared" si="29"/>
        <v>1</v>
      </c>
      <c r="Q111">
        <f t="shared" si="30"/>
        <v>0</v>
      </c>
      <c r="R111">
        <f t="shared" si="31"/>
        <v>0</v>
      </c>
      <c r="S111">
        <f t="shared" si="32"/>
        <v>0</v>
      </c>
      <c r="T111">
        <f t="shared" si="33"/>
        <v>0</v>
      </c>
      <c r="U111">
        <f t="shared" si="34"/>
        <v>0</v>
      </c>
      <c r="V111">
        <f t="shared" si="35"/>
        <v>0</v>
      </c>
      <c r="W111" t="str">
        <f>VLOOKUP(A111,[2]!Table2[[NCT Number]:[Intervention type]],11,FALSE)</f>
        <v>immunotherapy</v>
      </c>
      <c r="X111">
        <f t="shared" si="36"/>
        <v>1</v>
      </c>
      <c r="Y111">
        <f t="shared" si="37"/>
        <v>0</v>
      </c>
      <c r="Z111">
        <f t="shared" si="38"/>
        <v>0</v>
      </c>
      <c r="AA111">
        <f t="shared" si="39"/>
        <v>0</v>
      </c>
      <c r="AB111">
        <f t="shared" si="40"/>
        <v>0</v>
      </c>
      <c r="AC111">
        <f t="shared" si="41"/>
        <v>0</v>
      </c>
      <c r="AD111">
        <f t="shared" si="42"/>
        <v>0</v>
      </c>
      <c r="AE111">
        <f t="shared" si="43"/>
        <v>0</v>
      </c>
      <c r="AF111">
        <f>IF(ISNUMBER(SEARCH("endocrine", W111)), 1, 0)</f>
        <v>0</v>
      </c>
      <c r="AG111" t="s">
        <v>9</v>
      </c>
      <c r="AH111" t="s">
        <v>10</v>
      </c>
      <c r="AI111" t="s">
        <v>26</v>
      </c>
      <c r="AJ111">
        <f t="shared" si="44"/>
        <v>1</v>
      </c>
      <c r="AK111">
        <f t="shared" si="45"/>
        <v>0</v>
      </c>
      <c r="AL111">
        <f t="shared" si="46"/>
        <v>0</v>
      </c>
      <c r="AM111">
        <f t="shared" si="47"/>
        <v>0</v>
      </c>
      <c r="AN111">
        <f t="shared" si="48"/>
        <v>0</v>
      </c>
      <c r="AO111">
        <f t="shared" si="49"/>
        <v>0</v>
      </c>
      <c r="AP111" t="s">
        <v>39</v>
      </c>
      <c r="AQ111">
        <f t="shared" si="50"/>
        <v>0</v>
      </c>
      <c r="AR111">
        <f t="shared" si="51"/>
        <v>0</v>
      </c>
      <c r="AS111">
        <f t="shared" si="52"/>
        <v>1</v>
      </c>
      <c r="AT111">
        <f t="shared" si="53"/>
        <v>0</v>
      </c>
      <c r="AU111">
        <f t="shared" si="54"/>
        <v>0</v>
      </c>
    </row>
    <row r="112" spans="1:47" x14ac:dyDescent="0.2">
      <c r="A112" t="s">
        <v>142</v>
      </c>
      <c r="B112">
        <v>2023</v>
      </c>
      <c r="C112">
        <v>2017</v>
      </c>
      <c r="D112" t="s">
        <v>265</v>
      </c>
      <c r="E112">
        <v>0</v>
      </c>
      <c r="F112">
        <v>1</v>
      </c>
      <c r="G112">
        <v>0</v>
      </c>
      <c r="H112">
        <v>417</v>
      </c>
      <c r="I112">
        <v>8</v>
      </c>
      <c r="J112">
        <f t="shared" si="55"/>
        <v>1.9184652278177459</v>
      </c>
      <c r="K112">
        <v>265</v>
      </c>
      <c r="L112">
        <v>144</v>
      </c>
      <c r="M112">
        <v>290</v>
      </c>
      <c r="N112" t="s">
        <v>6</v>
      </c>
      <c r="O112">
        <f t="shared" si="28"/>
        <v>0</v>
      </c>
      <c r="P112">
        <f t="shared" si="29"/>
        <v>1</v>
      </c>
      <c r="Q112">
        <f t="shared" si="30"/>
        <v>0</v>
      </c>
      <c r="R112">
        <f t="shared" si="31"/>
        <v>0</v>
      </c>
      <c r="S112">
        <f t="shared" si="32"/>
        <v>0</v>
      </c>
      <c r="T112">
        <f t="shared" si="33"/>
        <v>1</v>
      </c>
      <c r="U112">
        <f t="shared" si="34"/>
        <v>0</v>
      </c>
      <c r="V112">
        <f t="shared" si="35"/>
        <v>0</v>
      </c>
      <c r="W112" t="str">
        <f>VLOOKUP(A112,[2]!Table2[[NCT Number]:[Intervention type]],11,FALSE)</f>
        <v>Targeted therapy</v>
      </c>
      <c r="X112">
        <f t="shared" si="36"/>
        <v>0</v>
      </c>
      <c r="Y112">
        <f t="shared" si="37"/>
        <v>1</v>
      </c>
      <c r="Z112">
        <f t="shared" si="38"/>
        <v>0</v>
      </c>
      <c r="AA112">
        <f t="shared" si="39"/>
        <v>0</v>
      </c>
      <c r="AB112">
        <f t="shared" si="40"/>
        <v>0</v>
      </c>
      <c r="AC112">
        <f t="shared" si="41"/>
        <v>0</v>
      </c>
      <c r="AD112">
        <f t="shared" si="42"/>
        <v>0</v>
      </c>
      <c r="AE112">
        <f t="shared" si="43"/>
        <v>0</v>
      </c>
      <c r="AF112">
        <f>IF(ISNUMBER(SEARCH("endocrine", W112)), 1, 0)</f>
        <v>0</v>
      </c>
      <c r="AG112" t="s">
        <v>15</v>
      </c>
      <c r="AH112" t="s">
        <v>10</v>
      </c>
      <c r="AI112" t="s">
        <v>11</v>
      </c>
      <c r="AJ112">
        <f t="shared" si="44"/>
        <v>0</v>
      </c>
      <c r="AK112">
        <f t="shared" si="45"/>
        <v>1</v>
      </c>
      <c r="AL112">
        <f t="shared" si="46"/>
        <v>0</v>
      </c>
      <c r="AM112">
        <f t="shared" si="47"/>
        <v>0</v>
      </c>
      <c r="AN112">
        <f t="shared" si="48"/>
        <v>0</v>
      </c>
      <c r="AO112">
        <f t="shared" si="49"/>
        <v>0</v>
      </c>
      <c r="AP112" t="s">
        <v>12</v>
      </c>
      <c r="AQ112">
        <f t="shared" si="50"/>
        <v>1</v>
      </c>
      <c r="AR112">
        <f t="shared" si="51"/>
        <v>0</v>
      </c>
      <c r="AS112">
        <f t="shared" si="52"/>
        <v>0</v>
      </c>
      <c r="AT112">
        <f t="shared" si="53"/>
        <v>0</v>
      </c>
      <c r="AU112">
        <f t="shared" si="54"/>
        <v>0</v>
      </c>
    </row>
    <row r="113" spans="1:47" x14ac:dyDescent="0.2">
      <c r="A113" t="s">
        <v>143</v>
      </c>
      <c r="B113">
        <v>2020</v>
      </c>
      <c r="C113">
        <v>2015</v>
      </c>
      <c r="D113" t="s">
        <v>264</v>
      </c>
      <c r="E113">
        <v>1</v>
      </c>
      <c r="F113">
        <v>0</v>
      </c>
      <c r="G113">
        <v>0</v>
      </c>
      <c r="H113">
        <v>424</v>
      </c>
      <c r="I113">
        <v>12</v>
      </c>
      <c r="J113">
        <f t="shared" si="55"/>
        <v>2.8301886792452828</v>
      </c>
      <c r="K113">
        <v>288</v>
      </c>
      <c r="L113">
        <v>124</v>
      </c>
      <c r="M113">
        <v>235</v>
      </c>
      <c r="N113" t="s">
        <v>56</v>
      </c>
      <c r="O113">
        <f t="shared" si="28"/>
        <v>0</v>
      </c>
      <c r="P113">
        <f t="shared" si="29"/>
        <v>1</v>
      </c>
      <c r="Q113">
        <f t="shared" si="30"/>
        <v>0</v>
      </c>
      <c r="R113">
        <f t="shared" si="31"/>
        <v>0</v>
      </c>
      <c r="S113">
        <f t="shared" si="32"/>
        <v>0</v>
      </c>
      <c r="T113">
        <f t="shared" si="33"/>
        <v>0</v>
      </c>
      <c r="U113">
        <f t="shared" si="34"/>
        <v>0</v>
      </c>
      <c r="V113">
        <f t="shared" si="35"/>
        <v>0</v>
      </c>
      <c r="W113" t="str">
        <f>VLOOKUP(A113,[2]!Table2[[NCT Number]:[Intervention type]],11,FALSE)</f>
        <v>immunotherapy+chemo</v>
      </c>
      <c r="X113">
        <f t="shared" si="36"/>
        <v>1</v>
      </c>
      <c r="Y113">
        <f t="shared" si="37"/>
        <v>0</v>
      </c>
      <c r="Z113">
        <f t="shared" si="38"/>
        <v>0</v>
      </c>
      <c r="AA113">
        <f t="shared" si="39"/>
        <v>0</v>
      </c>
      <c r="AB113">
        <f t="shared" si="40"/>
        <v>0</v>
      </c>
      <c r="AC113">
        <f t="shared" si="41"/>
        <v>0</v>
      </c>
      <c r="AD113">
        <f t="shared" si="42"/>
        <v>0</v>
      </c>
      <c r="AE113">
        <f t="shared" si="43"/>
        <v>1</v>
      </c>
      <c r="AF113">
        <f>IF(ISNUMBER(SEARCH("endocrine", W113)), 1, 0)</f>
        <v>0</v>
      </c>
      <c r="AG113" t="s">
        <v>9</v>
      </c>
      <c r="AH113" t="s">
        <v>10</v>
      </c>
      <c r="AI113" t="s">
        <v>11</v>
      </c>
      <c r="AJ113">
        <f t="shared" si="44"/>
        <v>0</v>
      </c>
      <c r="AK113">
        <f t="shared" si="45"/>
        <v>1</v>
      </c>
      <c r="AL113">
        <f t="shared" si="46"/>
        <v>0</v>
      </c>
      <c r="AM113">
        <f t="shared" si="47"/>
        <v>0</v>
      </c>
      <c r="AN113">
        <f t="shared" si="48"/>
        <v>0</v>
      </c>
      <c r="AO113">
        <f t="shared" si="49"/>
        <v>0</v>
      </c>
      <c r="AP113" t="s">
        <v>12</v>
      </c>
      <c r="AQ113">
        <f t="shared" si="50"/>
        <v>1</v>
      </c>
      <c r="AR113">
        <f t="shared" si="51"/>
        <v>0</v>
      </c>
      <c r="AS113">
        <f t="shared" si="52"/>
        <v>0</v>
      </c>
      <c r="AT113">
        <f t="shared" si="53"/>
        <v>0</v>
      </c>
      <c r="AU113">
        <f t="shared" si="54"/>
        <v>0</v>
      </c>
    </row>
    <row r="114" spans="1:47" x14ac:dyDescent="0.2">
      <c r="A114" t="s">
        <v>144</v>
      </c>
      <c r="B114">
        <v>2022</v>
      </c>
      <c r="C114">
        <v>2016</v>
      </c>
      <c r="D114" t="s">
        <v>265</v>
      </c>
      <c r="E114">
        <v>0</v>
      </c>
      <c r="F114">
        <v>1</v>
      </c>
      <c r="G114">
        <v>0</v>
      </c>
      <c r="H114">
        <v>425</v>
      </c>
      <c r="I114">
        <v>0</v>
      </c>
      <c r="J114">
        <f t="shared" si="55"/>
        <v>0</v>
      </c>
      <c r="K114">
        <v>67</v>
      </c>
      <c r="L114">
        <v>358</v>
      </c>
      <c r="M114">
        <v>321</v>
      </c>
      <c r="N114" t="s">
        <v>18</v>
      </c>
      <c r="O114">
        <f t="shared" si="28"/>
        <v>0</v>
      </c>
      <c r="P114">
        <f t="shared" si="29"/>
        <v>0</v>
      </c>
      <c r="Q114">
        <f t="shared" si="30"/>
        <v>0</v>
      </c>
      <c r="R114">
        <f t="shared" si="31"/>
        <v>0</v>
      </c>
      <c r="S114">
        <f t="shared" si="32"/>
        <v>0</v>
      </c>
      <c r="T114">
        <f t="shared" si="33"/>
        <v>0</v>
      </c>
      <c r="U114">
        <f t="shared" si="34"/>
        <v>1</v>
      </c>
      <c r="V114">
        <f t="shared" si="35"/>
        <v>0</v>
      </c>
      <c r="W114" t="str">
        <f>VLOOKUP(A114,[2]!Table2[[NCT Number]:[Intervention type]],11,FALSE)</f>
        <v>immunotherapy</v>
      </c>
      <c r="X114">
        <f t="shared" si="36"/>
        <v>1</v>
      </c>
      <c r="Y114">
        <f t="shared" si="37"/>
        <v>0</v>
      </c>
      <c r="Z114">
        <f t="shared" si="38"/>
        <v>0</v>
      </c>
      <c r="AA114">
        <f t="shared" si="39"/>
        <v>0</v>
      </c>
      <c r="AB114">
        <f t="shared" si="40"/>
        <v>0</v>
      </c>
      <c r="AC114">
        <f t="shared" si="41"/>
        <v>0</v>
      </c>
      <c r="AD114">
        <f t="shared" si="42"/>
        <v>0</v>
      </c>
      <c r="AE114">
        <f t="shared" si="43"/>
        <v>0</v>
      </c>
      <c r="AF114">
        <f>IF(ISNUMBER(SEARCH("endocrine", W114)), 1, 0)</f>
        <v>0</v>
      </c>
      <c r="AG114" t="s">
        <v>15</v>
      </c>
      <c r="AH114" t="s">
        <v>10</v>
      </c>
      <c r="AI114" t="s">
        <v>11</v>
      </c>
      <c r="AJ114">
        <f t="shared" si="44"/>
        <v>0</v>
      </c>
      <c r="AK114">
        <f t="shared" si="45"/>
        <v>1</v>
      </c>
      <c r="AL114">
        <f t="shared" si="46"/>
        <v>0</v>
      </c>
      <c r="AM114">
        <f t="shared" si="47"/>
        <v>0</v>
      </c>
      <c r="AN114">
        <f t="shared" si="48"/>
        <v>0</v>
      </c>
      <c r="AO114">
        <f t="shared" si="49"/>
        <v>0</v>
      </c>
      <c r="AP114" t="s">
        <v>12</v>
      </c>
      <c r="AQ114">
        <f t="shared" si="50"/>
        <v>1</v>
      </c>
      <c r="AR114">
        <f t="shared" si="51"/>
        <v>0</v>
      </c>
      <c r="AS114">
        <f t="shared" si="52"/>
        <v>0</v>
      </c>
      <c r="AT114">
        <f t="shared" si="53"/>
        <v>0</v>
      </c>
      <c r="AU114">
        <f t="shared" si="54"/>
        <v>0</v>
      </c>
    </row>
    <row r="115" spans="1:47" x14ac:dyDescent="0.2">
      <c r="A115" t="s">
        <v>145</v>
      </c>
      <c r="B115">
        <v>2020</v>
      </c>
      <c r="C115">
        <v>2015</v>
      </c>
      <c r="D115" t="s">
        <v>264</v>
      </c>
      <c r="E115">
        <v>1</v>
      </c>
      <c r="F115">
        <v>0</v>
      </c>
      <c r="G115">
        <v>0</v>
      </c>
      <c r="H115">
        <v>432</v>
      </c>
      <c r="I115">
        <v>8</v>
      </c>
      <c r="J115">
        <f t="shared" si="55"/>
        <v>1.8518518518518519</v>
      </c>
      <c r="K115">
        <v>370</v>
      </c>
      <c r="L115">
        <v>54</v>
      </c>
      <c r="M115">
        <v>321</v>
      </c>
      <c r="N115" t="s">
        <v>56</v>
      </c>
      <c r="O115">
        <f t="shared" si="28"/>
        <v>0</v>
      </c>
      <c r="P115">
        <f t="shared" si="29"/>
        <v>1</v>
      </c>
      <c r="Q115">
        <f t="shared" si="30"/>
        <v>0</v>
      </c>
      <c r="R115">
        <f t="shared" si="31"/>
        <v>0</v>
      </c>
      <c r="S115">
        <f t="shared" si="32"/>
        <v>0</v>
      </c>
      <c r="T115">
        <f t="shared" si="33"/>
        <v>0</v>
      </c>
      <c r="U115">
        <f t="shared" si="34"/>
        <v>0</v>
      </c>
      <c r="V115">
        <f t="shared" si="35"/>
        <v>0</v>
      </c>
      <c r="W115" t="str">
        <f>VLOOKUP(A115,[2]!Table2[[NCT Number]:[Intervention type]],11,FALSE)</f>
        <v>Targeted therapy+chemo</v>
      </c>
      <c r="X115">
        <f t="shared" si="36"/>
        <v>0</v>
      </c>
      <c r="Y115">
        <f t="shared" si="37"/>
        <v>1</v>
      </c>
      <c r="Z115">
        <f t="shared" si="38"/>
        <v>0</v>
      </c>
      <c r="AA115">
        <f t="shared" si="39"/>
        <v>0</v>
      </c>
      <c r="AB115">
        <f t="shared" si="40"/>
        <v>0</v>
      </c>
      <c r="AC115">
        <f t="shared" si="41"/>
        <v>0</v>
      </c>
      <c r="AD115">
        <f t="shared" si="42"/>
        <v>1</v>
      </c>
      <c r="AE115">
        <f t="shared" si="43"/>
        <v>0</v>
      </c>
      <c r="AF115">
        <f>IF(ISNUMBER(SEARCH("endocrine", W115)), 1, 0)</f>
        <v>0</v>
      </c>
      <c r="AG115" t="s">
        <v>9</v>
      </c>
      <c r="AH115" t="s">
        <v>10</v>
      </c>
      <c r="AI115" t="s">
        <v>11</v>
      </c>
      <c r="AJ115">
        <f t="shared" si="44"/>
        <v>0</v>
      </c>
      <c r="AK115">
        <f t="shared" si="45"/>
        <v>1</v>
      </c>
      <c r="AL115">
        <f t="shared" si="46"/>
        <v>0</v>
      </c>
      <c r="AM115">
        <f t="shared" si="47"/>
        <v>0</v>
      </c>
      <c r="AN115">
        <f t="shared" si="48"/>
        <v>0</v>
      </c>
      <c r="AO115">
        <f t="shared" si="49"/>
        <v>0</v>
      </c>
      <c r="AP115" t="s">
        <v>12</v>
      </c>
      <c r="AQ115">
        <f t="shared" si="50"/>
        <v>1</v>
      </c>
      <c r="AR115">
        <f t="shared" si="51"/>
        <v>0</v>
      </c>
      <c r="AS115">
        <f t="shared" si="52"/>
        <v>0</v>
      </c>
      <c r="AT115">
        <f t="shared" si="53"/>
        <v>0</v>
      </c>
      <c r="AU115">
        <f t="shared" si="54"/>
        <v>0</v>
      </c>
    </row>
    <row r="116" spans="1:47" x14ac:dyDescent="0.2">
      <c r="A116" t="s">
        <v>146</v>
      </c>
      <c r="B116">
        <v>2022</v>
      </c>
      <c r="C116">
        <v>2017</v>
      </c>
      <c r="D116" t="s">
        <v>265</v>
      </c>
      <c r="E116">
        <v>0</v>
      </c>
      <c r="F116">
        <v>1</v>
      </c>
      <c r="G116">
        <v>0</v>
      </c>
      <c r="H116">
        <v>437</v>
      </c>
      <c r="I116">
        <v>6</v>
      </c>
      <c r="J116">
        <f t="shared" si="55"/>
        <v>1.3729977116704806</v>
      </c>
      <c r="K116">
        <v>297</v>
      </c>
      <c r="L116">
        <v>134</v>
      </c>
      <c r="M116">
        <v>0</v>
      </c>
      <c r="N116" t="s">
        <v>46</v>
      </c>
      <c r="O116">
        <f t="shared" si="28"/>
        <v>1</v>
      </c>
      <c r="P116">
        <f t="shared" si="29"/>
        <v>0</v>
      </c>
      <c r="Q116">
        <f t="shared" si="30"/>
        <v>0</v>
      </c>
      <c r="R116">
        <f t="shared" si="31"/>
        <v>0</v>
      </c>
      <c r="S116">
        <f t="shared" si="32"/>
        <v>0</v>
      </c>
      <c r="T116">
        <f t="shared" si="33"/>
        <v>0</v>
      </c>
      <c r="U116">
        <f t="shared" si="34"/>
        <v>0</v>
      </c>
      <c r="V116">
        <f t="shared" si="35"/>
        <v>0</v>
      </c>
      <c r="W116" t="str">
        <f>VLOOKUP(A116,[2]!Table2[[NCT Number]:[Intervention type]],11,FALSE)</f>
        <v>immunotherapy</v>
      </c>
      <c r="X116">
        <f t="shared" si="36"/>
        <v>1</v>
      </c>
      <c r="Y116">
        <f t="shared" si="37"/>
        <v>0</v>
      </c>
      <c r="Z116">
        <f t="shared" si="38"/>
        <v>0</v>
      </c>
      <c r="AA116">
        <f t="shared" si="39"/>
        <v>0</v>
      </c>
      <c r="AB116">
        <f t="shared" si="40"/>
        <v>0</v>
      </c>
      <c r="AC116">
        <f t="shared" si="41"/>
        <v>0</v>
      </c>
      <c r="AD116">
        <f t="shared" si="42"/>
        <v>0</v>
      </c>
      <c r="AE116">
        <f t="shared" si="43"/>
        <v>0</v>
      </c>
      <c r="AF116">
        <f>IF(ISNUMBER(SEARCH("endocrine", W116)), 1, 0)</f>
        <v>0</v>
      </c>
      <c r="AG116" t="s">
        <v>15</v>
      </c>
      <c r="AH116" t="s">
        <v>10</v>
      </c>
      <c r="AI116" t="s">
        <v>42</v>
      </c>
      <c r="AJ116">
        <f t="shared" si="44"/>
        <v>0</v>
      </c>
      <c r="AK116">
        <f t="shared" si="45"/>
        <v>0</v>
      </c>
      <c r="AL116">
        <f t="shared" si="46"/>
        <v>1</v>
      </c>
      <c r="AM116">
        <f t="shared" si="47"/>
        <v>0</v>
      </c>
      <c r="AN116">
        <f t="shared" si="48"/>
        <v>0</v>
      </c>
      <c r="AO116">
        <f t="shared" si="49"/>
        <v>0</v>
      </c>
      <c r="AP116" t="s">
        <v>8</v>
      </c>
      <c r="AQ116">
        <f t="shared" si="50"/>
        <v>0</v>
      </c>
      <c r="AR116">
        <f t="shared" si="51"/>
        <v>0</v>
      </c>
      <c r="AS116">
        <f t="shared" si="52"/>
        <v>0</v>
      </c>
      <c r="AT116">
        <f t="shared" si="53"/>
        <v>0</v>
      </c>
      <c r="AU116">
        <f t="shared" si="54"/>
        <v>1</v>
      </c>
    </row>
    <row r="117" spans="1:47" x14ac:dyDescent="0.2">
      <c r="A117" t="s">
        <v>147</v>
      </c>
      <c r="B117">
        <v>2021</v>
      </c>
      <c r="C117">
        <v>2017</v>
      </c>
      <c r="D117" t="s">
        <v>265</v>
      </c>
      <c r="E117">
        <v>0</v>
      </c>
      <c r="F117">
        <v>1</v>
      </c>
      <c r="G117">
        <v>0</v>
      </c>
      <c r="H117">
        <v>440</v>
      </c>
      <c r="I117">
        <v>0</v>
      </c>
      <c r="J117">
        <f t="shared" si="55"/>
        <v>0</v>
      </c>
      <c r="K117">
        <v>1</v>
      </c>
      <c r="L117">
        <v>439</v>
      </c>
      <c r="M117">
        <v>301</v>
      </c>
      <c r="N117" t="s">
        <v>56</v>
      </c>
      <c r="O117">
        <f t="shared" si="28"/>
        <v>0</v>
      </c>
      <c r="P117">
        <f t="shared" si="29"/>
        <v>1</v>
      </c>
      <c r="Q117">
        <f t="shared" si="30"/>
        <v>0</v>
      </c>
      <c r="R117">
        <f t="shared" si="31"/>
        <v>0</v>
      </c>
      <c r="S117">
        <f t="shared" si="32"/>
        <v>0</v>
      </c>
      <c r="T117">
        <f t="shared" si="33"/>
        <v>0</v>
      </c>
      <c r="U117">
        <f t="shared" si="34"/>
        <v>0</v>
      </c>
      <c r="V117">
        <f t="shared" si="35"/>
        <v>0</v>
      </c>
      <c r="W117" t="str">
        <f>VLOOKUP(A117,[2]!Table2[[NCT Number]:[Intervention type]],11,FALSE)</f>
        <v>Targeted therapy+chemo</v>
      </c>
      <c r="X117">
        <f t="shared" si="36"/>
        <v>0</v>
      </c>
      <c r="Y117">
        <f t="shared" si="37"/>
        <v>1</v>
      </c>
      <c r="Z117">
        <f t="shared" si="38"/>
        <v>0</v>
      </c>
      <c r="AA117">
        <f t="shared" si="39"/>
        <v>0</v>
      </c>
      <c r="AB117">
        <f t="shared" si="40"/>
        <v>0</v>
      </c>
      <c r="AC117">
        <f t="shared" si="41"/>
        <v>0</v>
      </c>
      <c r="AD117">
        <f t="shared" si="42"/>
        <v>1</v>
      </c>
      <c r="AE117">
        <f t="shared" si="43"/>
        <v>0</v>
      </c>
      <c r="AF117">
        <f>IF(ISNUMBER(SEARCH("endocrine", W117)), 1, 0)</f>
        <v>0</v>
      </c>
      <c r="AG117" t="s">
        <v>9</v>
      </c>
      <c r="AH117" t="s">
        <v>10</v>
      </c>
      <c r="AI117" t="s">
        <v>11</v>
      </c>
      <c r="AJ117">
        <f t="shared" si="44"/>
        <v>0</v>
      </c>
      <c r="AK117">
        <f t="shared" si="45"/>
        <v>1</v>
      </c>
      <c r="AL117">
        <f t="shared" si="46"/>
        <v>0</v>
      </c>
      <c r="AM117">
        <f t="shared" si="47"/>
        <v>0</v>
      </c>
      <c r="AN117">
        <f t="shared" si="48"/>
        <v>0</v>
      </c>
      <c r="AO117">
        <f t="shared" si="49"/>
        <v>0</v>
      </c>
      <c r="AP117" t="s">
        <v>12</v>
      </c>
      <c r="AQ117">
        <f t="shared" si="50"/>
        <v>1</v>
      </c>
      <c r="AR117">
        <f t="shared" si="51"/>
        <v>0</v>
      </c>
      <c r="AS117">
        <f t="shared" si="52"/>
        <v>0</v>
      </c>
      <c r="AT117">
        <f t="shared" si="53"/>
        <v>0</v>
      </c>
      <c r="AU117">
        <f t="shared" si="54"/>
        <v>0</v>
      </c>
    </row>
    <row r="118" spans="1:47" x14ac:dyDescent="0.2">
      <c r="A118" t="s">
        <v>148</v>
      </c>
      <c r="B118">
        <v>2020</v>
      </c>
      <c r="C118">
        <v>2016</v>
      </c>
      <c r="D118" t="s">
        <v>265</v>
      </c>
      <c r="E118">
        <v>0</v>
      </c>
      <c r="F118">
        <v>1</v>
      </c>
      <c r="G118">
        <v>0</v>
      </c>
      <c r="H118">
        <v>441</v>
      </c>
      <c r="I118" t="s">
        <v>8</v>
      </c>
      <c r="J118" t="s">
        <v>8</v>
      </c>
      <c r="K118" t="s">
        <v>8</v>
      </c>
      <c r="L118" t="s">
        <v>8</v>
      </c>
      <c r="M118">
        <v>279</v>
      </c>
      <c r="N118" t="s">
        <v>18</v>
      </c>
      <c r="O118">
        <f t="shared" si="28"/>
        <v>0</v>
      </c>
      <c r="P118">
        <f t="shared" si="29"/>
        <v>0</v>
      </c>
      <c r="Q118">
        <f t="shared" si="30"/>
        <v>0</v>
      </c>
      <c r="R118">
        <f t="shared" si="31"/>
        <v>0</v>
      </c>
      <c r="S118">
        <f t="shared" si="32"/>
        <v>0</v>
      </c>
      <c r="T118">
        <f t="shared" si="33"/>
        <v>0</v>
      </c>
      <c r="U118">
        <f t="shared" si="34"/>
        <v>1</v>
      </c>
      <c r="V118">
        <f t="shared" si="35"/>
        <v>0</v>
      </c>
      <c r="W118" t="str">
        <f>VLOOKUP(A118,[2]!Table2[[NCT Number]:[Intervention type]],11,FALSE)</f>
        <v>Targeted therapy+chemo</v>
      </c>
      <c r="X118">
        <f t="shared" si="36"/>
        <v>0</v>
      </c>
      <c r="Y118">
        <f t="shared" si="37"/>
        <v>1</v>
      </c>
      <c r="Z118">
        <f t="shared" si="38"/>
        <v>0</v>
      </c>
      <c r="AA118">
        <f t="shared" si="39"/>
        <v>0</v>
      </c>
      <c r="AB118">
        <f t="shared" si="40"/>
        <v>0</v>
      </c>
      <c r="AC118">
        <f t="shared" si="41"/>
        <v>0</v>
      </c>
      <c r="AD118">
        <f t="shared" si="42"/>
        <v>1</v>
      </c>
      <c r="AE118">
        <f t="shared" si="43"/>
        <v>0</v>
      </c>
      <c r="AF118">
        <f>IF(ISNUMBER(SEARCH("endocrine", W118)), 1, 0)</f>
        <v>0</v>
      </c>
      <c r="AG118" t="s">
        <v>9</v>
      </c>
      <c r="AH118" t="s">
        <v>10</v>
      </c>
      <c r="AI118" t="s">
        <v>11</v>
      </c>
      <c r="AJ118">
        <f t="shared" si="44"/>
        <v>0</v>
      </c>
      <c r="AK118">
        <f t="shared" si="45"/>
        <v>1</v>
      </c>
      <c r="AL118">
        <f t="shared" si="46"/>
        <v>0</v>
      </c>
      <c r="AM118">
        <f t="shared" si="47"/>
        <v>0</v>
      </c>
      <c r="AN118">
        <f t="shared" si="48"/>
        <v>0</v>
      </c>
      <c r="AO118">
        <f t="shared" si="49"/>
        <v>0</v>
      </c>
      <c r="AP118" t="s">
        <v>12</v>
      </c>
      <c r="AQ118">
        <f t="shared" si="50"/>
        <v>1</v>
      </c>
      <c r="AR118">
        <f t="shared" si="51"/>
        <v>0</v>
      </c>
      <c r="AS118">
        <f t="shared" si="52"/>
        <v>0</v>
      </c>
      <c r="AT118">
        <f t="shared" si="53"/>
        <v>0</v>
      </c>
      <c r="AU118">
        <f t="shared" si="54"/>
        <v>0</v>
      </c>
    </row>
    <row r="119" spans="1:47" x14ac:dyDescent="0.2">
      <c r="A119" t="s">
        <v>149</v>
      </c>
      <c r="B119">
        <v>2021</v>
      </c>
      <c r="C119">
        <v>2015</v>
      </c>
      <c r="D119" t="s">
        <v>264</v>
      </c>
      <c r="E119">
        <v>1</v>
      </c>
      <c r="F119">
        <v>0</v>
      </c>
      <c r="G119">
        <v>0</v>
      </c>
      <c r="H119">
        <v>442</v>
      </c>
      <c r="I119">
        <v>8</v>
      </c>
      <c r="J119">
        <f t="shared" si="55"/>
        <v>1.8099547511312217</v>
      </c>
      <c r="K119">
        <v>393</v>
      </c>
      <c r="L119">
        <v>41</v>
      </c>
      <c r="M119">
        <v>0</v>
      </c>
      <c r="N119" t="s">
        <v>44</v>
      </c>
      <c r="O119">
        <f t="shared" si="28"/>
        <v>0</v>
      </c>
      <c r="P119">
        <f t="shared" si="29"/>
        <v>1</v>
      </c>
      <c r="Q119">
        <f t="shared" si="30"/>
        <v>0</v>
      </c>
      <c r="R119">
        <f t="shared" si="31"/>
        <v>1</v>
      </c>
      <c r="S119">
        <f t="shared" si="32"/>
        <v>0</v>
      </c>
      <c r="T119">
        <f t="shared" si="33"/>
        <v>0</v>
      </c>
      <c r="U119">
        <f t="shared" si="34"/>
        <v>0</v>
      </c>
      <c r="V119">
        <f t="shared" si="35"/>
        <v>0</v>
      </c>
      <c r="W119" t="str">
        <f>VLOOKUP(A119,[2]!Table2[[NCT Number]:[Intervention type]],11,FALSE)</f>
        <v>chemotherapy</v>
      </c>
      <c r="X119">
        <f t="shared" si="36"/>
        <v>0</v>
      </c>
      <c r="Y119">
        <f t="shared" si="37"/>
        <v>0</v>
      </c>
      <c r="Z119">
        <f t="shared" si="38"/>
        <v>1</v>
      </c>
      <c r="AA119">
        <f t="shared" si="39"/>
        <v>0</v>
      </c>
      <c r="AB119">
        <f t="shared" si="40"/>
        <v>0</v>
      </c>
      <c r="AC119">
        <f t="shared" si="41"/>
        <v>0</v>
      </c>
      <c r="AD119">
        <f t="shared" si="42"/>
        <v>0</v>
      </c>
      <c r="AE119">
        <f t="shared" si="43"/>
        <v>0</v>
      </c>
      <c r="AF119">
        <f>IF(ISNUMBER(SEARCH("endocrine", W119)), 1, 0)</f>
        <v>0</v>
      </c>
      <c r="AG119" t="s">
        <v>15</v>
      </c>
      <c r="AH119" t="s">
        <v>10</v>
      </c>
      <c r="AI119" t="s">
        <v>11</v>
      </c>
      <c r="AJ119">
        <f t="shared" si="44"/>
        <v>0</v>
      </c>
      <c r="AK119">
        <f t="shared" si="45"/>
        <v>1</v>
      </c>
      <c r="AL119">
        <f t="shared" si="46"/>
        <v>0</v>
      </c>
      <c r="AM119">
        <f t="shared" si="47"/>
        <v>0</v>
      </c>
      <c r="AN119">
        <f t="shared" si="48"/>
        <v>0</v>
      </c>
      <c r="AO119">
        <f t="shared" si="49"/>
        <v>0</v>
      </c>
      <c r="AP119" t="s">
        <v>12</v>
      </c>
      <c r="AQ119">
        <f t="shared" si="50"/>
        <v>1</v>
      </c>
      <c r="AR119">
        <f t="shared" si="51"/>
        <v>0</v>
      </c>
      <c r="AS119">
        <f t="shared" si="52"/>
        <v>0</v>
      </c>
      <c r="AT119">
        <f t="shared" si="53"/>
        <v>0</v>
      </c>
      <c r="AU119">
        <f t="shared" si="54"/>
        <v>0</v>
      </c>
    </row>
    <row r="120" spans="1:47" x14ac:dyDescent="0.2">
      <c r="A120" t="s">
        <v>150</v>
      </c>
      <c r="B120">
        <v>2018</v>
      </c>
      <c r="C120">
        <v>2014</v>
      </c>
      <c r="D120" t="s">
        <v>264</v>
      </c>
      <c r="E120">
        <v>1</v>
      </c>
      <c r="F120">
        <v>0</v>
      </c>
      <c r="G120">
        <v>0</v>
      </c>
      <c r="H120">
        <v>444</v>
      </c>
      <c r="I120" t="s">
        <v>8</v>
      </c>
      <c r="J120" t="s">
        <v>8</v>
      </c>
      <c r="K120" t="s">
        <v>8</v>
      </c>
      <c r="L120" t="s">
        <v>8</v>
      </c>
      <c r="M120">
        <v>1</v>
      </c>
      <c r="N120" t="s">
        <v>46</v>
      </c>
      <c r="O120">
        <f t="shared" si="28"/>
        <v>1</v>
      </c>
      <c r="P120">
        <f t="shared" si="29"/>
        <v>0</v>
      </c>
      <c r="Q120">
        <f t="shared" si="30"/>
        <v>0</v>
      </c>
      <c r="R120">
        <f t="shared" si="31"/>
        <v>0</v>
      </c>
      <c r="S120">
        <f t="shared" si="32"/>
        <v>0</v>
      </c>
      <c r="T120">
        <f t="shared" si="33"/>
        <v>0</v>
      </c>
      <c r="U120">
        <f t="shared" si="34"/>
        <v>0</v>
      </c>
      <c r="V120">
        <f t="shared" si="35"/>
        <v>0</v>
      </c>
      <c r="W120" t="str">
        <f>VLOOKUP(A120,[2]!Table2[[NCT Number]:[Intervention type]],11,FALSE)</f>
        <v>immunotherapy</v>
      </c>
      <c r="X120">
        <f t="shared" si="36"/>
        <v>1</v>
      </c>
      <c r="Y120">
        <f t="shared" si="37"/>
        <v>0</v>
      </c>
      <c r="Z120">
        <f t="shared" si="38"/>
        <v>0</v>
      </c>
      <c r="AA120">
        <f t="shared" si="39"/>
        <v>0</v>
      </c>
      <c r="AB120">
        <f t="shared" si="40"/>
        <v>0</v>
      </c>
      <c r="AC120">
        <f t="shared" si="41"/>
        <v>0</v>
      </c>
      <c r="AD120">
        <f t="shared" si="42"/>
        <v>0</v>
      </c>
      <c r="AE120">
        <f t="shared" si="43"/>
        <v>0</v>
      </c>
      <c r="AF120">
        <f>IF(ISNUMBER(SEARCH("endocrine", W120)), 1, 0)</f>
        <v>0</v>
      </c>
      <c r="AG120" t="s">
        <v>9</v>
      </c>
      <c r="AH120" t="s">
        <v>10</v>
      </c>
      <c r="AI120" t="s">
        <v>42</v>
      </c>
      <c r="AJ120">
        <f t="shared" si="44"/>
        <v>0</v>
      </c>
      <c r="AK120">
        <f t="shared" si="45"/>
        <v>0</v>
      </c>
      <c r="AL120">
        <f t="shared" si="46"/>
        <v>1</v>
      </c>
      <c r="AM120">
        <f t="shared" si="47"/>
        <v>0</v>
      </c>
      <c r="AN120">
        <f t="shared" si="48"/>
        <v>0</v>
      </c>
      <c r="AO120">
        <f t="shared" si="49"/>
        <v>0</v>
      </c>
      <c r="AP120" t="s">
        <v>8</v>
      </c>
      <c r="AQ120">
        <f t="shared" si="50"/>
        <v>0</v>
      </c>
      <c r="AR120">
        <f t="shared" si="51"/>
        <v>0</v>
      </c>
      <c r="AS120">
        <f t="shared" si="52"/>
        <v>0</v>
      </c>
      <c r="AT120">
        <f t="shared" si="53"/>
        <v>0</v>
      </c>
      <c r="AU120">
        <f t="shared" si="54"/>
        <v>1</v>
      </c>
    </row>
    <row r="121" spans="1:47" x14ac:dyDescent="0.2">
      <c r="A121" t="s">
        <v>151</v>
      </c>
      <c r="B121">
        <v>2020</v>
      </c>
      <c r="C121">
        <v>2017</v>
      </c>
      <c r="D121" t="s">
        <v>265</v>
      </c>
      <c r="E121">
        <v>0</v>
      </c>
      <c r="F121">
        <v>1</v>
      </c>
      <c r="G121">
        <v>0</v>
      </c>
      <c r="H121">
        <v>444</v>
      </c>
      <c r="I121">
        <v>2</v>
      </c>
      <c r="J121">
        <f t="shared" si="55"/>
        <v>0.45045045045045046</v>
      </c>
      <c r="K121">
        <v>358</v>
      </c>
      <c r="L121">
        <v>84</v>
      </c>
      <c r="M121">
        <v>277</v>
      </c>
      <c r="N121" t="s">
        <v>18</v>
      </c>
      <c r="O121">
        <f t="shared" si="28"/>
        <v>0</v>
      </c>
      <c r="P121">
        <f t="shared" si="29"/>
        <v>0</v>
      </c>
      <c r="Q121">
        <f t="shared" si="30"/>
        <v>0</v>
      </c>
      <c r="R121">
        <f t="shared" si="31"/>
        <v>0</v>
      </c>
      <c r="S121">
        <f t="shared" si="32"/>
        <v>0</v>
      </c>
      <c r="T121">
        <f t="shared" si="33"/>
        <v>0</v>
      </c>
      <c r="U121">
        <f t="shared" si="34"/>
        <v>1</v>
      </c>
      <c r="V121">
        <f t="shared" si="35"/>
        <v>0</v>
      </c>
      <c r="W121" t="str">
        <f>VLOOKUP(A121,[2]!Table2[[NCT Number]:[Intervention type]],11,FALSE)</f>
        <v>biologic agent</v>
      </c>
      <c r="X121">
        <f t="shared" si="36"/>
        <v>0</v>
      </c>
      <c r="Y121">
        <f t="shared" si="37"/>
        <v>0</v>
      </c>
      <c r="Z121">
        <f t="shared" si="38"/>
        <v>0</v>
      </c>
      <c r="AA121">
        <f t="shared" si="39"/>
        <v>1</v>
      </c>
      <c r="AB121">
        <f t="shared" si="40"/>
        <v>0</v>
      </c>
      <c r="AC121">
        <f t="shared" si="41"/>
        <v>0</v>
      </c>
      <c r="AD121">
        <f t="shared" si="42"/>
        <v>0</v>
      </c>
      <c r="AE121">
        <f t="shared" si="43"/>
        <v>0</v>
      </c>
      <c r="AF121">
        <f>IF(ISNUMBER(SEARCH("endocrine", W121)), 1, 0)</f>
        <v>0</v>
      </c>
      <c r="AG121" t="s">
        <v>15</v>
      </c>
      <c r="AH121" t="s">
        <v>10</v>
      </c>
      <c r="AI121" t="s">
        <v>11</v>
      </c>
      <c r="AJ121">
        <f t="shared" si="44"/>
        <v>0</v>
      </c>
      <c r="AK121">
        <f t="shared" si="45"/>
        <v>1</v>
      </c>
      <c r="AL121">
        <f t="shared" si="46"/>
        <v>0</v>
      </c>
      <c r="AM121">
        <f t="shared" si="47"/>
        <v>0</v>
      </c>
      <c r="AN121">
        <f t="shared" si="48"/>
        <v>0</v>
      </c>
      <c r="AO121">
        <f t="shared" si="49"/>
        <v>0</v>
      </c>
      <c r="AP121" t="s">
        <v>12</v>
      </c>
      <c r="AQ121">
        <f t="shared" si="50"/>
        <v>1</v>
      </c>
      <c r="AR121">
        <f t="shared" si="51"/>
        <v>0</v>
      </c>
      <c r="AS121">
        <f t="shared" si="52"/>
        <v>0</v>
      </c>
      <c r="AT121">
        <f t="shared" si="53"/>
        <v>0</v>
      </c>
      <c r="AU121">
        <f t="shared" si="54"/>
        <v>0</v>
      </c>
    </row>
    <row r="122" spans="1:47" x14ac:dyDescent="0.2">
      <c r="A122" t="s">
        <v>152</v>
      </c>
      <c r="B122">
        <v>2021</v>
      </c>
      <c r="C122">
        <v>2017</v>
      </c>
      <c r="D122" t="s">
        <v>265</v>
      </c>
      <c r="E122">
        <v>0</v>
      </c>
      <c r="F122">
        <v>1</v>
      </c>
      <c r="G122">
        <v>0</v>
      </c>
      <c r="H122">
        <v>453</v>
      </c>
      <c r="I122">
        <v>1</v>
      </c>
      <c r="J122">
        <f t="shared" si="55"/>
        <v>0.22075055187637968</v>
      </c>
      <c r="K122">
        <v>339</v>
      </c>
      <c r="L122">
        <v>113</v>
      </c>
      <c r="M122">
        <v>294</v>
      </c>
      <c r="N122" t="s">
        <v>18</v>
      </c>
      <c r="O122">
        <f t="shared" si="28"/>
        <v>0</v>
      </c>
      <c r="P122">
        <f t="shared" si="29"/>
        <v>0</v>
      </c>
      <c r="Q122">
        <f t="shared" si="30"/>
        <v>0</v>
      </c>
      <c r="R122">
        <f t="shared" si="31"/>
        <v>0</v>
      </c>
      <c r="S122">
        <f t="shared" si="32"/>
        <v>0</v>
      </c>
      <c r="T122">
        <f t="shared" si="33"/>
        <v>0</v>
      </c>
      <c r="U122">
        <f t="shared" si="34"/>
        <v>1</v>
      </c>
      <c r="V122">
        <f t="shared" si="35"/>
        <v>0</v>
      </c>
      <c r="W122" t="str">
        <f>VLOOKUP(A122,[2]!Table2[[NCT Number]:[Intervention type]],11,FALSE)</f>
        <v>immunotherapy+chemo</v>
      </c>
      <c r="X122">
        <f t="shared" si="36"/>
        <v>1</v>
      </c>
      <c r="Y122">
        <f t="shared" si="37"/>
        <v>0</v>
      </c>
      <c r="Z122">
        <f t="shared" si="38"/>
        <v>0</v>
      </c>
      <c r="AA122">
        <f t="shared" si="39"/>
        <v>0</v>
      </c>
      <c r="AB122">
        <f t="shared" si="40"/>
        <v>0</v>
      </c>
      <c r="AC122">
        <f t="shared" si="41"/>
        <v>0</v>
      </c>
      <c r="AD122">
        <f t="shared" si="42"/>
        <v>0</v>
      </c>
      <c r="AE122">
        <f t="shared" si="43"/>
        <v>1</v>
      </c>
      <c r="AF122">
        <f>IF(ISNUMBER(SEARCH("endocrine", W122)), 1, 0)</f>
        <v>0</v>
      </c>
      <c r="AG122" t="s">
        <v>9</v>
      </c>
      <c r="AH122" t="s">
        <v>10</v>
      </c>
      <c r="AI122" t="s">
        <v>263</v>
      </c>
      <c r="AJ122">
        <f t="shared" si="44"/>
        <v>0</v>
      </c>
      <c r="AK122">
        <f t="shared" si="45"/>
        <v>0</v>
      </c>
      <c r="AL122">
        <f t="shared" si="46"/>
        <v>0</v>
      </c>
      <c r="AM122">
        <f t="shared" si="47"/>
        <v>0</v>
      </c>
      <c r="AN122">
        <f t="shared" si="48"/>
        <v>1</v>
      </c>
      <c r="AO122">
        <f t="shared" si="49"/>
        <v>0</v>
      </c>
      <c r="AP122" t="s">
        <v>39</v>
      </c>
      <c r="AQ122">
        <f t="shared" si="50"/>
        <v>0</v>
      </c>
      <c r="AR122">
        <f t="shared" si="51"/>
        <v>0</v>
      </c>
      <c r="AS122">
        <f t="shared" si="52"/>
        <v>1</v>
      </c>
      <c r="AT122">
        <f t="shared" si="53"/>
        <v>0</v>
      </c>
      <c r="AU122">
        <f t="shared" si="54"/>
        <v>0</v>
      </c>
    </row>
    <row r="123" spans="1:47" x14ac:dyDescent="0.2">
      <c r="A123" t="s">
        <v>153</v>
      </c>
      <c r="B123">
        <v>2023</v>
      </c>
      <c r="C123">
        <v>2017</v>
      </c>
      <c r="D123" t="s">
        <v>265</v>
      </c>
      <c r="E123">
        <v>0</v>
      </c>
      <c r="F123">
        <v>1</v>
      </c>
      <c r="G123">
        <v>0</v>
      </c>
      <c r="H123">
        <v>453</v>
      </c>
      <c r="I123">
        <v>3</v>
      </c>
      <c r="J123">
        <f t="shared" si="55"/>
        <v>0.66225165562913912</v>
      </c>
      <c r="K123">
        <v>298</v>
      </c>
      <c r="L123">
        <v>152</v>
      </c>
      <c r="M123">
        <v>328</v>
      </c>
      <c r="N123" t="s">
        <v>18</v>
      </c>
      <c r="O123">
        <f t="shared" si="28"/>
        <v>0</v>
      </c>
      <c r="P123">
        <f t="shared" si="29"/>
        <v>0</v>
      </c>
      <c r="Q123">
        <f t="shared" si="30"/>
        <v>0</v>
      </c>
      <c r="R123">
        <f t="shared" si="31"/>
        <v>0</v>
      </c>
      <c r="S123">
        <f t="shared" si="32"/>
        <v>0</v>
      </c>
      <c r="T123">
        <f t="shared" si="33"/>
        <v>0</v>
      </c>
      <c r="U123">
        <f t="shared" si="34"/>
        <v>1</v>
      </c>
      <c r="V123">
        <f t="shared" si="35"/>
        <v>0</v>
      </c>
      <c r="W123" t="str">
        <f>VLOOKUP(A123,[2]!Table2[[NCT Number]:[Intervention type]],11,FALSE)</f>
        <v>immunotherapy</v>
      </c>
      <c r="X123">
        <f t="shared" si="36"/>
        <v>1</v>
      </c>
      <c r="Y123">
        <f t="shared" si="37"/>
        <v>0</v>
      </c>
      <c r="Z123">
        <f t="shared" si="38"/>
        <v>0</v>
      </c>
      <c r="AA123">
        <f t="shared" si="39"/>
        <v>0</v>
      </c>
      <c r="AB123">
        <f t="shared" si="40"/>
        <v>0</v>
      </c>
      <c r="AC123">
        <f t="shared" si="41"/>
        <v>0</v>
      </c>
      <c r="AD123">
        <f t="shared" si="42"/>
        <v>0</v>
      </c>
      <c r="AE123">
        <f t="shared" si="43"/>
        <v>0</v>
      </c>
      <c r="AF123">
        <f>IF(ISNUMBER(SEARCH("endocrine", W123)), 1, 0)</f>
        <v>0</v>
      </c>
      <c r="AG123" t="s">
        <v>15</v>
      </c>
      <c r="AH123" t="s">
        <v>10</v>
      </c>
      <c r="AI123" t="s">
        <v>263</v>
      </c>
      <c r="AJ123">
        <f t="shared" si="44"/>
        <v>0</v>
      </c>
      <c r="AK123">
        <f t="shared" si="45"/>
        <v>0</v>
      </c>
      <c r="AL123">
        <f t="shared" si="46"/>
        <v>0</v>
      </c>
      <c r="AM123">
        <f t="shared" si="47"/>
        <v>0</v>
      </c>
      <c r="AN123">
        <f t="shared" si="48"/>
        <v>1</v>
      </c>
      <c r="AO123">
        <f t="shared" si="49"/>
        <v>0</v>
      </c>
      <c r="AP123" t="s">
        <v>8</v>
      </c>
      <c r="AQ123">
        <f t="shared" si="50"/>
        <v>0</v>
      </c>
      <c r="AR123">
        <f t="shared" si="51"/>
        <v>0</v>
      </c>
      <c r="AS123">
        <f t="shared" si="52"/>
        <v>0</v>
      </c>
      <c r="AT123">
        <f t="shared" si="53"/>
        <v>0</v>
      </c>
      <c r="AU123">
        <f t="shared" si="54"/>
        <v>1</v>
      </c>
    </row>
    <row r="124" spans="1:47" x14ac:dyDescent="0.2">
      <c r="A124" t="s">
        <v>154</v>
      </c>
      <c r="B124">
        <v>2023</v>
      </c>
      <c r="C124">
        <v>2019</v>
      </c>
      <c r="D124" t="s">
        <v>266</v>
      </c>
      <c r="E124">
        <v>0</v>
      </c>
      <c r="F124">
        <v>0</v>
      </c>
      <c r="G124">
        <v>1</v>
      </c>
      <c r="H124">
        <v>454</v>
      </c>
      <c r="I124">
        <v>21</v>
      </c>
      <c r="J124">
        <f t="shared" si="55"/>
        <v>4.6255506607929515</v>
      </c>
      <c r="K124">
        <v>291</v>
      </c>
      <c r="L124">
        <v>142</v>
      </c>
      <c r="M124">
        <v>2</v>
      </c>
      <c r="N124" t="s">
        <v>46</v>
      </c>
      <c r="O124">
        <f t="shared" si="28"/>
        <v>1</v>
      </c>
      <c r="P124">
        <f t="shared" si="29"/>
        <v>0</v>
      </c>
      <c r="Q124">
        <f t="shared" si="30"/>
        <v>0</v>
      </c>
      <c r="R124">
        <f t="shared" si="31"/>
        <v>0</v>
      </c>
      <c r="S124">
        <f t="shared" si="32"/>
        <v>0</v>
      </c>
      <c r="T124">
        <f t="shared" si="33"/>
        <v>0</v>
      </c>
      <c r="U124">
        <f t="shared" si="34"/>
        <v>0</v>
      </c>
      <c r="V124">
        <f t="shared" si="35"/>
        <v>0</v>
      </c>
      <c r="W124" t="str">
        <f>VLOOKUP(A124,[2]!Table2[[NCT Number]:[Intervention type]],11,FALSE)</f>
        <v>immunotherapy+chemo</v>
      </c>
      <c r="X124">
        <f t="shared" si="36"/>
        <v>1</v>
      </c>
      <c r="Y124">
        <f t="shared" si="37"/>
        <v>0</v>
      </c>
      <c r="Z124">
        <f t="shared" si="38"/>
        <v>0</v>
      </c>
      <c r="AA124">
        <f t="shared" si="39"/>
        <v>0</v>
      </c>
      <c r="AB124">
        <f t="shared" si="40"/>
        <v>0</v>
      </c>
      <c r="AC124">
        <f t="shared" si="41"/>
        <v>0</v>
      </c>
      <c r="AD124">
        <f t="shared" si="42"/>
        <v>0</v>
      </c>
      <c r="AE124">
        <f t="shared" si="43"/>
        <v>1</v>
      </c>
      <c r="AF124">
        <f>IF(ISNUMBER(SEARCH("endocrine", W124)), 1, 0)</f>
        <v>0</v>
      </c>
      <c r="AG124" t="s">
        <v>9</v>
      </c>
      <c r="AH124" t="s">
        <v>10</v>
      </c>
      <c r="AI124" t="s">
        <v>11</v>
      </c>
      <c r="AJ124">
        <f t="shared" si="44"/>
        <v>0</v>
      </c>
      <c r="AK124">
        <f t="shared" si="45"/>
        <v>1</v>
      </c>
      <c r="AL124">
        <f t="shared" si="46"/>
        <v>0</v>
      </c>
      <c r="AM124">
        <f t="shared" si="47"/>
        <v>0</v>
      </c>
      <c r="AN124">
        <f t="shared" si="48"/>
        <v>0</v>
      </c>
      <c r="AO124">
        <f t="shared" si="49"/>
        <v>0</v>
      </c>
      <c r="AP124" t="s">
        <v>12</v>
      </c>
      <c r="AQ124">
        <f t="shared" si="50"/>
        <v>1</v>
      </c>
      <c r="AR124">
        <f t="shared" si="51"/>
        <v>0</v>
      </c>
      <c r="AS124">
        <f t="shared" si="52"/>
        <v>0</v>
      </c>
      <c r="AT124">
        <f t="shared" si="53"/>
        <v>0</v>
      </c>
      <c r="AU124">
        <f t="shared" si="54"/>
        <v>0</v>
      </c>
    </row>
    <row r="125" spans="1:47" x14ac:dyDescent="0.2">
      <c r="A125" t="s">
        <v>155</v>
      </c>
      <c r="B125">
        <v>2018</v>
      </c>
      <c r="C125">
        <v>2014</v>
      </c>
      <c r="D125" t="s">
        <v>264</v>
      </c>
      <c r="E125">
        <v>1</v>
      </c>
      <c r="F125">
        <v>0</v>
      </c>
      <c r="G125">
        <v>0</v>
      </c>
      <c r="H125">
        <v>459</v>
      </c>
      <c r="I125" t="s">
        <v>8</v>
      </c>
      <c r="J125" t="s">
        <v>8</v>
      </c>
      <c r="K125" t="s">
        <v>8</v>
      </c>
      <c r="L125" t="s">
        <v>8</v>
      </c>
      <c r="M125">
        <v>387</v>
      </c>
      <c r="N125" t="s">
        <v>35</v>
      </c>
      <c r="O125">
        <f t="shared" si="28"/>
        <v>0</v>
      </c>
      <c r="P125">
        <f t="shared" si="29"/>
        <v>0</v>
      </c>
      <c r="Q125">
        <f t="shared" si="30"/>
        <v>0</v>
      </c>
      <c r="R125">
        <f t="shared" si="31"/>
        <v>0</v>
      </c>
      <c r="S125">
        <f t="shared" si="32"/>
        <v>1</v>
      </c>
      <c r="T125">
        <f t="shared" si="33"/>
        <v>0</v>
      </c>
      <c r="U125">
        <f t="shared" si="34"/>
        <v>0</v>
      </c>
      <c r="V125">
        <f t="shared" si="35"/>
        <v>0</v>
      </c>
      <c r="W125" t="str">
        <f>VLOOKUP(A125,[2]!Table2[[NCT Number]:[Intervention type]],11,FALSE)</f>
        <v>chemotherapy</v>
      </c>
      <c r="X125">
        <f t="shared" si="36"/>
        <v>0</v>
      </c>
      <c r="Y125">
        <f t="shared" si="37"/>
        <v>0</v>
      </c>
      <c r="Z125">
        <f t="shared" si="38"/>
        <v>1</v>
      </c>
      <c r="AA125">
        <f t="shared" si="39"/>
        <v>0</v>
      </c>
      <c r="AB125">
        <f t="shared" si="40"/>
        <v>0</v>
      </c>
      <c r="AC125">
        <f t="shared" si="41"/>
        <v>0</v>
      </c>
      <c r="AD125">
        <f t="shared" si="42"/>
        <v>0</v>
      </c>
      <c r="AE125">
        <f t="shared" si="43"/>
        <v>0</v>
      </c>
      <c r="AF125">
        <f>IF(ISNUMBER(SEARCH("endocrine", W125)), 1, 0)</f>
        <v>0</v>
      </c>
      <c r="AG125" t="s">
        <v>9</v>
      </c>
      <c r="AH125" t="s">
        <v>10</v>
      </c>
      <c r="AI125" t="s">
        <v>11</v>
      </c>
      <c r="AJ125">
        <f t="shared" si="44"/>
        <v>0</v>
      </c>
      <c r="AK125">
        <f t="shared" si="45"/>
        <v>1</v>
      </c>
      <c r="AL125">
        <f t="shared" si="46"/>
        <v>0</v>
      </c>
      <c r="AM125">
        <f t="shared" si="47"/>
        <v>0</v>
      </c>
      <c r="AN125">
        <f t="shared" si="48"/>
        <v>0</v>
      </c>
      <c r="AO125">
        <f t="shared" si="49"/>
        <v>0</v>
      </c>
      <c r="AP125" t="s">
        <v>12</v>
      </c>
      <c r="AQ125">
        <f t="shared" si="50"/>
        <v>1</v>
      </c>
      <c r="AR125">
        <f t="shared" si="51"/>
        <v>0</v>
      </c>
      <c r="AS125">
        <f t="shared" si="52"/>
        <v>0</v>
      </c>
      <c r="AT125">
        <f t="shared" si="53"/>
        <v>0</v>
      </c>
      <c r="AU125">
        <f t="shared" si="54"/>
        <v>0</v>
      </c>
    </row>
    <row r="126" spans="1:47" x14ac:dyDescent="0.2">
      <c r="A126" t="s">
        <v>156</v>
      </c>
      <c r="B126">
        <v>2020</v>
      </c>
      <c r="C126">
        <v>2015</v>
      </c>
      <c r="D126" t="s">
        <v>264</v>
      </c>
      <c r="E126">
        <v>1</v>
      </c>
      <c r="F126">
        <v>0</v>
      </c>
      <c r="G126">
        <v>0</v>
      </c>
      <c r="H126">
        <v>459</v>
      </c>
      <c r="I126" t="s">
        <v>8</v>
      </c>
      <c r="J126" t="s">
        <v>8</v>
      </c>
      <c r="K126" t="s">
        <v>8</v>
      </c>
      <c r="L126" t="s">
        <v>8</v>
      </c>
      <c r="M126">
        <v>386</v>
      </c>
      <c r="N126" t="s">
        <v>56</v>
      </c>
      <c r="O126">
        <f t="shared" si="28"/>
        <v>0</v>
      </c>
      <c r="P126">
        <f t="shared" si="29"/>
        <v>1</v>
      </c>
      <c r="Q126">
        <f t="shared" si="30"/>
        <v>0</v>
      </c>
      <c r="R126">
        <f t="shared" si="31"/>
        <v>0</v>
      </c>
      <c r="S126">
        <f t="shared" si="32"/>
        <v>0</v>
      </c>
      <c r="T126">
        <f t="shared" si="33"/>
        <v>0</v>
      </c>
      <c r="U126">
        <f t="shared" si="34"/>
        <v>0</v>
      </c>
      <c r="V126">
        <f t="shared" si="35"/>
        <v>0</v>
      </c>
      <c r="W126" t="str">
        <f>VLOOKUP(A126,[2]!Table2[[NCT Number]:[Intervention type]],11,FALSE)</f>
        <v>Other</v>
      </c>
      <c r="X126">
        <f t="shared" si="36"/>
        <v>0</v>
      </c>
      <c r="Y126">
        <f t="shared" si="37"/>
        <v>0</v>
      </c>
      <c r="Z126">
        <f t="shared" si="38"/>
        <v>0</v>
      </c>
      <c r="AA126">
        <f t="shared" si="39"/>
        <v>0</v>
      </c>
      <c r="AB126">
        <f t="shared" si="40"/>
        <v>1</v>
      </c>
      <c r="AC126">
        <f t="shared" si="41"/>
        <v>0</v>
      </c>
      <c r="AD126">
        <f t="shared" si="42"/>
        <v>0</v>
      </c>
      <c r="AE126">
        <f t="shared" si="43"/>
        <v>0</v>
      </c>
      <c r="AF126">
        <f>IF(ISNUMBER(SEARCH("endocrine", W126)), 1, 0)</f>
        <v>0</v>
      </c>
      <c r="AG126" t="s">
        <v>9</v>
      </c>
      <c r="AH126" t="s">
        <v>10</v>
      </c>
      <c r="AI126" t="s">
        <v>11</v>
      </c>
      <c r="AJ126">
        <f t="shared" si="44"/>
        <v>0</v>
      </c>
      <c r="AK126">
        <f t="shared" si="45"/>
        <v>1</v>
      </c>
      <c r="AL126">
        <f t="shared" si="46"/>
        <v>0</v>
      </c>
      <c r="AM126">
        <f t="shared" si="47"/>
        <v>0</v>
      </c>
      <c r="AN126">
        <f t="shared" si="48"/>
        <v>0</v>
      </c>
      <c r="AO126">
        <f t="shared" si="49"/>
        <v>0</v>
      </c>
      <c r="AP126" t="s">
        <v>12</v>
      </c>
      <c r="AQ126">
        <f t="shared" si="50"/>
        <v>1</v>
      </c>
      <c r="AR126">
        <f t="shared" si="51"/>
        <v>0</v>
      </c>
      <c r="AS126">
        <f t="shared" si="52"/>
        <v>0</v>
      </c>
      <c r="AT126">
        <f t="shared" si="53"/>
        <v>0</v>
      </c>
      <c r="AU126">
        <f t="shared" si="54"/>
        <v>0</v>
      </c>
    </row>
    <row r="127" spans="1:47" x14ac:dyDescent="0.2">
      <c r="A127" t="s">
        <v>157</v>
      </c>
      <c r="B127">
        <v>2020</v>
      </c>
      <c r="C127">
        <v>2017</v>
      </c>
      <c r="D127" t="s">
        <v>265</v>
      </c>
      <c r="E127">
        <v>0</v>
      </c>
      <c r="F127">
        <v>1</v>
      </c>
      <c r="G127">
        <v>0</v>
      </c>
      <c r="H127">
        <v>460</v>
      </c>
      <c r="I127">
        <v>0</v>
      </c>
      <c r="J127">
        <f t="shared" si="55"/>
        <v>0</v>
      </c>
      <c r="K127">
        <v>146</v>
      </c>
      <c r="L127">
        <v>314</v>
      </c>
      <c r="M127">
        <v>353</v>
      </c>
      <c r="N127" t="s">
        <v>56</v>
      </c>
      <c r="O127">
        <f t="shared" si="28"/>
        <v>0</v>
      </c>
      <c r="P127">
        <f t="shared" si="29"/>
        <v>1</v>
      </c>
      <c r="Q127">
        <f t="shared" si="30"/>
        <v>0</v>
      </c>
      <c r="R127">
        <f t="shared" si="31"/>
        <v>0</v>
      </c>
      <c r="S127">
        <f t="shared" si="32"/>
        <v>0</v>
      </c>
      <c r="T127">
        <f t="shared" si="33"/>
        <v>0</v>
      </c>
      <c r="U127">
        <f t="shared" si="34"/>
        <v>0</v>
      </c>
      <c r="V127">
        <f t="shared" si="35"/>
        <v>0</v>
      </c>
      <c r="W127" t="str">
        <f>VLOOKUP(A127,[2]!Table2[[NCT Number]:[Intervention type]],11,FALSE)</f>
        <v>Targeted therapy</v>
      </c>
      <c r="X127">
        <f t="shared" si="36"/>
        <v>0</v>
      </c>
      <c r="Y127">
        <f t="shared" si="37"/>
        <v>1</v>
      </c>
      <c r="Z127">
        <f t="shared" si="38"/>
        <v>0</v>
      </c>
      <c r="AA127">
        <f t="shared" si="39"/>
        <v>0</v>
      </c>
      <c r="AB127">
        <f t="shared" si="40"/>
        <v>0</v>
      </c>
      <c r="AC127">
        <f t="shared" si="41"/>
        <v>0</v>
      </c>
      <c r="AD127">
        <f t="shared" si="42"/>
        <v>0</v>
      </c>
      <c r="AE127">
        <f t="shared" si="43"/>
        <v>0</v>
      </c>
      <c r="AF127">
        <f>IF(ISNUMBER(SEARCH("endocrine", W127)), 1, 0)</f>
        <v>0</v>
      </c>
      <c r="AG127" t="s">
        <v>9</v>
      </c>
      <c r="AH127" t="s">
        <v>10</v>
      </c>
      <c r="AI127" t="s">
        <v>263</v>
      </c>
      <c r="AJ127">
        <f t="shared" si="44"/>
        <v>0</v>
      </c>
      <c r="AK127">
        <f t="shared" si="45"/>
        <v>0</v>
      </c>
      <c r="AL127">
        <f t="shared" si="46"/>
        <v>0</v>
      </c>
      <c r="AM127">
        <f t="shared" si="47"/>
        <v>0</v>
      </c>
      <c r="AN127">
        <f t="shared" si="48"/>
        <v>1</v>
      </c>
      <c r="AO127">
        <f t="shared" si="49"/>
        <v>0</v>
      </c>
      <c r="AP127" t="s">
        <v>12</v>
      </c>
      <c r="AQ127">
        <f t="shared" si="50"/>
        <v>1</v>
      </c>
      <c r="AR127">
        <f t="shared" si="51"/>
        <v>0</v>
      </c>
      <c r="AS127">
        <f t="shared" si="52"/>
        <v>0</v>
      </c>
      <c r="AT127">
        <f t="shared" si="53"/>
        <v>0</v>
      </c>
      <c r="AU127">
        <f t="shared" si="54"/>
        <v>0</v>
      </c>
    </row>
    <row r="128" spans="1:47" x14ac:dyDescent="0.2">
      <c r="A128" t="s">
        <v>158</v>
      </c>
      <c r="B128">
        <v>2021</v>
      </c>
      <c r="C128">
        <v>2017</v>
      </c>
      <c r="D128" t="s">
        <v>265</v>
      </c>
      <c r="E128">
        <v>0</v>
      </c>
      <c r="F128">
        <v>1</v>
      </c>
      <c r="G128">
        <v>0</v>
      </c>
      <c r="H128">
        <v>466</v>
      </c>
      <c r="I128">
        <v>9</v>
      </c>
      <c r="J128">
        <f t="shared" si="55"/>
        <v>1.9313304721030042</v>
      </c>
      <c r="K128">
        <v>366</v>
      </c>
      <c r="L128">
        <v>91</v>
      </c>
      <c r="M128">
        <v>268</v>
      </c>
      <c r="N128" t="s">
        <v>6</v>
      </c>
      <c r="O128">
        <f t="shared" si="28"/>
        <v>0</v>
      </c>
      <c r="P128">
        <f t="shared" si="29"/>
        <v>1</v>
      </c>
      <c r="Q128">
        <f t="shared" si="30"/>
        <v>0</v>
      </c>
      <c r="R128">
        <f t="shared" si="31"/>
        <v>0</v>
      </c>
      <c r="S128">
        <f t="shared" si="32"/>
        <v>0</v>
      </c>
      <c r="T128">
        <f t="shared" si="33"/>
        <v>1</v>
      </c>
      <c r="U128">
        <f t="shared" si="34"/>
        <v>0</v>
      </c>
      <c r="V128">
        <f t="shared" si="35"/>
        <v>0</v>
      </c>
      <c r="W128" t="str">
        <f>VLOOKUP(A128,[2]!Table2[[NCT Number]:[Intervention type]],11,FALSE)</f>
        <v>Targeted therapy</v>
      </c>
      <c r="X128">
        <f t="shared" si="36"/>
        <v>0</v>
      </c>
      <c r="Y128">
        <f t="shared" si="37"/>
        <v>1</v>
      </c>
      <c r="Z128">
        <f t="shared" si="38"/>
        <v>0</v>
      </c>
      <c r="AA128">
        <f t="shared" si="39"/>
        <v>0</v>
      </c>
      <c r="AB128">
        <f t="shared" si="40"/>
        <v>0</v>
      </c>
      <c r="AC128">
        <f t="shared" si="41"/>
        <v>0</v>
      </c>
      <c r="AD128">
        <f t="shared" si="42"/>
        <v>0</v>
      </c>
      <c r="AE128">
        <f t="shared" si="43"/>
        <v>0</v>
      </c>
      <c r="AF128">
        <f>IF(ISNUMBER(SEARCH("endocrine", W128)), 1, 0)</f>
        <v>0</v>
      </c>
      <c r="AG128" t="s">
        <v>9</v>
      </c>
      <c r="AH128" t="s">
        <v>10</v>
      </c>
      <c r="AI128" t="s">
        <v>11</v>
      </c>
      <c r="AJ128">
        <f t="shared" si="44"/>
        <v>0</v>
      </c>
      <c r="AK128">
        <f t="shared" si="45"/>
        <v>1</v>
      </c>
      <c r="AL128">
        <f t="shared" si="46"/>
        <v>0</v>
      </c>
      <c r="AM128">
        <f t="shared" si="47"/>
        <v>0</v>
      </c>
      <c r="AN128">
        <f t="shared" si="48"/>
        <v>0</v>
      </c>
      <c r="AO128">
        <f t="shared" si="49"/>
        <v>0</v>
      </c>
      <c r="AP128" t="s">
        <v>86</v>
      </c>
      <c r="AQ128">
        <f t="shared" si="50"/>
        <v>0</v>
      </c>
      <c r="AR128">
        <f t="shared" si="51"/>
        <v>0</v>
      </c>
      <c r="AS128">
        <f t="shared" si="52"/>
        <v>0</v>
      </c>
      <c r="AT128">
        <f t="shared" si="53"/>
        <v>1</v>
      </c>
      <c r="AU128">
        <f t="shared" si="54"/>
        <v>0</v>
      </c>
    </row>
    <row r="129" spans="1:47" x14ac:dyDescent="0.2">
      <c r="A129" t="s">
        <v>159</v>
      </c>
      <c r="B129">
        <v>2021</v>
      </c>
      <c r="C129">
        <v>2018</v>
      </c>
      <c r="D129" t="s">
        <v>265</v>
      </c>
      <c r="E129">
        <v>0</v>
      </c>
      <c r="F129">
        <v>1</v>
      </c>
      <c r="G129">
        <v>0</v>
      </c>
      <c r="H129">
        <v>476</v>
      </c>
      <c r="I129">
        <v>14</v>
      </c>
      <c r="J129">
        <f t="shared" si="55"/>
        <v>2.9411764705882355</v>
      </c>
      <c r="K129">
        <v>282</v>
      </c>
      <c r="L129">
        <v>180</v>
      </c>
      <c r="M129">
        <v>318</v>
      </c>
      <c r="N129" t="s">
        <v>56</v>
      </c>
      <c r="O129">
        <f t="shared" si="28"/>
        <v>0</v>
      </c>
      <c r="P129">
        <f t="shared" si="29"/>
        <v>1</v>
      </c>
      <c r="Q129">
        <f t="shared" si="30"/>
        <v>0</v>
      </c>
      <c r="R129">
        <f t="shared" si="31"/>
        <v>0</v>
      </c>
      <c r="S129">
        <f t="shared" si="32"/>
        <v>0</v>
      </c>
      <c r="T129">
        <f t="shared" si="33"/>
        <v>0</v>
      </c>
      <c r="U129">
        <f t="shared" si="34"/>
        <v>0</v>
      </c>
      <c r="V129">
        <f t="shared" si="35"/>
        <v>0</v>
      </c>
      <c r="W129" t="str">
        <f>VLOOKUP(A129,[2]!Table2[[NCT Number]:[Intervention type]],11,FALSE)</f>
        <v>Targeted therapy</v>
      </c>
      <c r="X129">
        <f t="shared" si="36"/>
        <v>0</v>
      </c>
      <c r="Y129">
        <f t="shared" si="37"/>
        <v>1</v>
      </c>
      <c r="Z129">
        <f t="shared" si="38"/>
        <v>0</v>
      </c>
      <c r="AA129">
        <f t="shared" si="39"/>
        <v>0</v>
      </c>
      <c r="AB129">
        <f t="shared" si="40"/>
        <v>0</v>
      </c>
      <c r="AC129">
        <f t="shared" si="41"/>
        <v>0</v>
      </c>
      <c r="AD129">
        <f t="shared" si="42"/>
        <v>0</v>
      </c>
      <c r="AE129">
        <f t="shared" si="43"/>
        <v>0</v>
      </c>
      <c r="AF129">
        <f>IF(ISNUMBER(SEARCH("endocrine", W129)), 1, 0)</f>
        <v>0</v>
      </c>
      <c r="AG129" t="s">
        <v>9</v>
      </c>
      <c r="AH129" t="s">
        <v>10</v>
      </c>
      <c r="AI129" t="s">
        <v>11</v>
      </c>
      <c r="AJ129">
        <f t="shared" si="44"/>
        <v>0</v>
      </c>
      <c r="AK129">
        <f t="shared" si="45"/>
        <v>1</v>
      </c>
      <c r="AL129">
        <f t="shared" si="46"/>
        <v>0</v>
      </c>
      <c r="AM129">
        <f t="shared" si="47"/>
        <v>0</v>
      </c>
      <c r="AN129">
        <f t="shared" si="48"/>
        <v>0</v>
      </c>
      <c r="AO129">
        <f t="shared" si="49"/>
        <v>0</v>
      </c>
      <c r="AP129" t="s">
        <v>86</v>
      </c>
      <c r="AQ129">
        <f t="shared" si="50"/>
        <v>0</v>
      </c>
      <c r="AR129">
        <f t="shared" si="51"/>
        <v>0</v>
      </c>
      <c r="AS129">
        <f t="shared" si="52"/>
        <v>0</v>
      </c>
      <c r="AT129">
        <f t="shared" si="53"/>
        <v>1</v>
      </c>
      <c r="AU129">
        <f t="shared" si="54"/>
        <v>0</v>
      </c>
    </row>
    <row r="130" spans="1:47" x14ac:dyDescent="0.2">
      <c r="A130" t="s">
        <v>160</v>
      </c>
      <c r="B130">
        <v>2019</v>
      </c>
      <c r="C130">
        <v>2015</v>
      </c>
      <c r="D130" t="s">
        <v>264</v>
      </c>
      <c r="E130">
        <v>1</v>
      </c>
      <c r="F130">
        <v>0</v>
      </c>
      <c r="G130">
        <v>0</v>
      </c>
      <c r="H130">
        <v>478</v>
      </c>
      <c r="I130">
        <v>5</v>
      </c>
      <c r="J130">
        <f t="shared" si="55"/>
        <v>1.0460251046025104</v>
      </c>
      <c r="K130">
        <v>402</v>
      </c>
      <c r="L130">
        <v>71</v>
      </c>
      <c r="M130">
        <v>260</v>
      </c>
      <c r="N130" t="s">
        <v>6</v>
      </c>
      <c r="O130">
        <f t="shared" si="28"/>
        <v>0</v>
      </c>
      <c r="P130">
        <f t="shared" si="29"/>
        <v>1</v>
      </c>
      <c r="Q130">
        <f t="shared" si="30"/>
        <v>0</v>
      </c>
      <c r="R130">
        <f t="shared" si="31"/>
        <v>0</v>
      </c>
      <c r="S130">
        <f t="shared" si="32"/>
        <v>0</v>
      </c>
      <c r="T130">
        <f t="shared" si="33"/>
        <v>1</v>
      </c>
      <c r="U130">
        <f t="shared" si="34"/>
        <v>0</v>
      </c>
      <c r="V130">
        <f t="shared" si="35"/>
        <v>0</v>
      </c>
      <c r="W130" t="str">
        <f>VLOOKUP(A130,[2]!Table2[[NCT Number]:[Intervention type]],11,FALSE)</f>
        <v>chemotherapy</v>
      </c>
      <c r="X130">
        <f t="shared" si="36"/>
        <v>0</v>
      </c>
      <c r="Y130">
        <f t="shared" si="37"/>
        <v>0</v>
      </c>
      <c r="Z130">
        <f t="shared" si="38"/>
        <v>1</v>
      </c>
      <c r="AA130">
        <f t="shared" si="39"/>
        <v>0</v>
      </c>
      <c r="AB130">
        <f t="shared" si="40"/>
        <v>0</v>
      </c>
      <c r="AC130">
        <f t="shared" si="41"/>
        <v>0</v>
      </c>
      <c r="AD130">
        <f t="shared" si="42"/>
        <v>0</v>
      </c>
      <c r="AE130">
        <f t="shared" si="43"/>
        <v>0</v>
      </c>
      <c r="AF130">
        <f>IF(ISNUMBER(SEARCH("endocrine", W130)), 1, 0)</f>
        <v>0</v>
      </c>
      <c r="AG130" t="s">
        <v>15</v>
      </c>
      <c r="AH130" t="s">
        <v>10</v>
      </c>
      <c r="AI130" t="s">
        <v>11</v>
      </c>
      <c r="AJ130">
        <f t="shared" si="44"/>
        <v>0</v>
      </c>
      <c r="AK130">
        <f t="shared" si="45"/>
        <v>1</v>
      </c>
      <c r="AL130">
        <f t="shared" si="46"/>
        <v>0</v>
      </c>
      <c r="AM130">
        <f t="shared" si="47"/>
        <v>0</v>
      </c>
      <c r="AN130">
        <f t="shared" si="48"/>
        <v>0</v>
      </c>
      <c r="AO130">
        <f t="shared" si="49"/>
        <v>0</v>
      </c>
      <c r="AP130" t="s">
        <v>12</v>
      </c>
      <c r="AQ130">
        <f t="shared" si="50"/>
        <v>1</v>
      </c>
      <c r="AR130">
        <f t="shared" si="51"/>
        <v>0</v>
      </c>
      <c r="AS130">
        <f t="shared" si="52"/>
        <v>0</v>
      </c>
      <c r="AT130">
        <f t="shared" si="53"/>
        <v>0</v>
      </c>
      <c r="AU130">
        <f t="shared" si="54"/>
        <v>0</v>
      </c>
    </row>
    <row r="131" spans="1:47" x14ac:dyDescent="0.2">
      <c r="A131" t="s">
        <v>161</v>
      </c>
      <c r="B131">
        <v>2020</v>
      </c>
      <c r="C131">
        <v>2017</v>
      </c>
      <c r="D131" t="s">
        <v>265</v>
      </c>
      <c r="E131">
        <v>0</v>
      </c>
      <c r="F131">
        <v>1</v>
      </c>
      <c r="G131">
        <v>0</v>
      </c>
      <c r="H131">
        <v>483</v>
      </c>
      <c r="I131">
        <v>6</v>
      </c>
      <c r="J131">
        <f t="shared" ref="J131:J194" si="56">100*I131/H131</f>
        <v>1.2422360248447204</v>
      </c>
      <c r="K131">
        <v>277</v>
      </c>
      <c r="L131">
        <v>243</v>
      </c>
      <c r="M131">
        <v>365</v>
      </c>
      <c r="N131" t="s">
        <v>18</v>
      </c>
      <c r="O131">
        <f t="shared" ref="O131:O194" si="57">IF(ISNUMBER(SEARCH("Breast", N131)), 1, 0)</f>
        <v>0</v>
      </c>
      <c r="P131">
        <f t="shared" ref="P131:P194" si="58">IF(ISNUMBER(SEARCH("GI", $N131)), 1, 0)</f>
        <v>0</v>
      </c>
      <c r="Q131">
        <f t="shared" ref="Q131:Q194" si="59">IF(ISNUMBER(SEARCH("GU", $N131)), 1, 0)</f>
        <v>0</v>
      </c>
      <c r="R131">
        <f t="shared" ref="R131:R194" si="60">IF(ISNUMBER(SEARCH("Gynacologic", $N131)), 1, 0)</f>
        <v>0</v>
      </c>
      <c r="S131">
        <f t="shared" ref="S131:S194" si="61">IF(ISNUMBER(SEARCH("Head and neck", $N131)), 1, 0)</f>
        <v>0</v>
      </c>
      <c r="T131">
        <f t="shared" ref="T131:T194" si="62">IF(ISNUMBER(SEARCH("Hematologic", $N131)), 1, 0)</f>
        <v>0</v>
      </c>
      <c r="U131">
        <f t="shared" ref="U131:U194" si="63">IF(ISNUMBER(SEARCH("Lung", $N131)), 1, 0)</f>
        <v>1</v>
      </c>
      <c r="V131">
        <f t="shared" ref="V131:V194" si="64">IF(ISNUMBER(SEARCH("Skin", $N131)), 1, 0)</f>
        <v>0</v>
      </c>
      <c r="W131" t="str">
        <f>VLOOKUP(A131,[2]!Table2[[NCT Number]:[Intervention type]],11,FALSE)</f>
        <v>Targeted therapy+chemo</v>
      </c>
      <c r="X131">
        <f t="shared" ref="X131:X194" si="65">IF(ISNUMBER(SEARCH("immunotherapy", W131)), 1, 0)</f>
        <v>0</v>
      </c>
      <c r="Y131">
        <f t="shared" ref="Y131:Y194" si="66">IF(ISNUMBER(SEARCH("Targeted therapy", W131)), 1, 0)</f>
        <v>1</v>
      </c>
      <c r="Z131">
        <f t="shared" ref="Z131:Z194" si="67">IF(ISNUMBER(SEARCH("chemotherapy", W131)), 1, 0)</f>
        <v>0</v>
      </c>
      <c r="AA131">
        <f t="shared" ref="AA131:AA194" si="68">IF(ISNUMBER(SEARCH("biologic agent", W131)), 1, 0)</f>
        <v>0</v>
      </c>
      <c r="AB131">
        <f t="shared" ref="AB131:AB194" si="69">IF(ISNUMBER(FIND("Other", W131)), 1, 0)</f>
        <v>0</v>
      </c>
      <c r="AC131">
        <f t="shared" ref="AC131:AC194" si="70">IF(ISNUMBER(SEARCH("immunotherapy+targeted therapy", W131)), 1, 0)</f>
        <v>0</v>
      </c>
      <c r="AD131">
        <f t="shared" ref="AD131:AD194" si="71">IF(ISNUMBER(SEARCH("Targeted therapy+chemo", W131)), 1, 0)</f>
        <v>1</v>
      </c>
      <c r="AE131">
        <f t="shared" ref="AE131:AE194" si="72">IF(ISNUMBER(SEARCH("immunotherapy+chemo", W131)), 1, 0)</f>
        <v>0</v>
      </c>
      <c r="AF131">
        <f>IF(ISNUMBER(SEARCH("endocrine", W131)), 1, 0)</f>
        <v>0</v>
      </c>
      <c r="AG131" t="s">
        <v>9</v>
      </c>
      <c r="AH131" t="s">
        <v>10</v>
      </c>
      <c r="AI131" t="s">
        <v>11</v>
      </c>
      <c r="AJ131">
        <f t="shared" ref="AJ131:AJ194" si="73">IF(ISNUMBER(FIND("CrABS", AI131)), 1, 0)</f>
        <v>0</v>
      </c>
      <c r="AK131">
        <f t="shared" ref="AK131:AK194" si="74">IF(ISNUMBER(FIND("CrCl", AI131)), 1, 0)</f>
        <v>1</v>
      </c>
      <c r="AL131">
        <f t="shared" ref="AL131:AL194" si="75">IF(ISNUMBER(FIND("CrULN", AI131)), 1, 0)</f>
        <v>0</v>
      </c>
      <c r="AM131">
        <f t="shared" ref="AM131:AM194" si="76">IF(ISNUMBER(FIND("eGFR", AI131)), 1, 0)</f>
        <v>0</v>
      </c>
      <c r="AN131">
        <f t="shared" ref="AN131:AN194" si="77">IF(ISNUMBER(FIND("Heterogeneous", AI131)), 1, 0)</f>
        <v>0</v>
      </c>
      <c r="AO131">
        <f t="shared" ref="AO131:AO194" si="78">IF(ISNUMBER(FIND("n/a", AI131)), 1, 0)</f>
        <v>0</v>
      </c>
      <c r="AP131" t="s">
        <v>12</v>
      </c>
      <c r="AQ131">
        <f t="shared" ref="AQ131:AQ194" si="79">IF(ISNUMBER(FIND("Cockcroft- Gault", $AP131)), 1, 0)</f>
        <v>1</v>
      </c>
      <c r="AR131">
        <f t="shared" ref="AR131:AR194" si="80">IF(ISNUMBER(FIND("MDRD", $AP131)), 1, 0)</f>
        <v>0</v>
      </c>
      <c r="AS131">
        <f t="shared" ref="AS131:AS194" si="81">IF(ISNUMBER(FIND("Institutional standard", $AP131)), 1, 0)</f>
        <v>0</v>
      </c>
      <c r="AT131">
        <f t="shared" ref="AT131:AT194" si="82">IF(ISNUMBER(FIND("Heterogenous", $AP131)), 1, 0)</f>
        <v>0</v>
      </c>
      <c r="AU131">
        <f t="shared" ref="AU131:AU194" si="83">IF(ISNUMBER(FIND("n/a", $AP131)), 1, 0)</f>
        <v>0</v>
      </c>
    </row>
    <row r="132" spans="1:47" x14ac:dyDescent="0.2">
      <c r="A132" t="s">
        <v>162</v>
      </c>
      <c r="B132">
        <v>2023</v>
      </c>
      <c r="C132">
        <v>2018</v>
      </c>
      <c r="D132" t="s">
        <v>265</v>
      </c>
      <c r="E132">
        <v>0</v>
      </c>
      <c r="F132">
        <v>1</v>
      </c>
      <c r="G132">
        <v>0</v>
      </c>
      <c r="H132">
        <v>491</v>
      </c>
      <c r="I132">
        <v>8</v>
      </c>
      <c r="J132">
        <f t="shared" si="56"/>
        <v>1.629327902240326</v>
      </c>
      <c r="K132">
        <v>396</v>
      </c>
      <c r="L132">
        <v>87</v>
      </c>
      <c r="M132">
        <v>325</v>
      </c>
      <c r="N132" t="s">
        <v>18</v>
      </c>
      <c r="O132">
        <f t="shared" si="57"/>
        <v>0</v>
      </c>
      <c r="P132">
        <f t="shared" si="58"/>
        <v>0</v>
      </c>
      <c r="Q132">
        <f t="shared" si="59"/>
        <v>0</v>
      </c>
      <c r="R132">
        <f t="shared" si="60"/>
        <v>0</v>
      </c>
      <c r="S132">
        <f t="shared" si="61"/>
        <v>0</v>
      </c>
      <c r="T132">
        <f t="shared" si="62"/>
        <v>0</v>
      </c>
      <c r="U132">
        <f t="shared" si="63"/>
        <v>1</v>
      </c>
      <c r="V132">
        <f t="shared" si="64"/>
        <v>0</v>
      </c>
      <c r="W132" t="str">
        <f>VLOOKUP(A132,[2]!Table2[[NCT Number]:[Intervention type]],11,FALSE)</f>
        <v>chemotherapy</v>
      </c>
      <c r="X132">
        <f t="shared" si="65"/>
        <v>0</v>
      </c>
      <c r="Y132">
        <f t="shared" si="66"/>
        <v>0</v>
      </c>
      <c r="Z132">
        <f t="shared" si="67"/>
        <v>1</v>
      </c>
      <c r="AA132">
        <f t="shared" si="68"/>
        <v>0</v>
      </c>
      <c r="AB132">
        <f t="shared" si="69"/>
        <v>0</v>
      </c>
      <c r="AC132">
        <f t="shared" si="70"/>
        <v>0</v>
      </c>
      <c r="AD132">
        <f t="shared" si="71"/>
        <v>0</v>
      </c>
      <c r="AE132">
        <f t="shared" si="72"/>
        <v>0</v>
      </c>
      <c r="AF132">
        <f>IF(ISNUMBER(SEARCH("endocrine", W132)), 1, 0)</f>
        <v>0</v>
      </c>
      <c r="AG132" t="s">
        <v>15</v>
      </c>
      <c r="AH132" t="s">
        <v>10</v>
      </c>
      <c r="AI132" t="s">
        <v>11</v>
      </c>
      <c r="AJ132">
        <f t="shared" si="73"/>
        <v>0</v>
      </c>
      <c r="AK132">
        <f t="shared" si="74"/>
        <v>1</v>
      </c>
      <c r="AL132">
        <f t="shared" si="75"/>
        <v>0</v>
      </c>
      <c r="AM132">
        <f t="shared" si="76"/>
        <v>0</v>
      </c>
      <c r="AN132">
        <f t="shared" si="77"/>
        <v>0</v>
      </c>
      <c r="AO132">
        <f t="shared" si="78"/>
        <v>0</v>
      </c>
      <c r="AP132" t="s">
        <v>12</v>
      </c>
      <c r="AQ132">
        <f t="shared" si="79"/>
        <v>1</v>
      </c>
      <c r="AR132">
        <f t="shared" si="80"/>
        <v>0</v>
      </c>
      <c r="AS132">
        <f t="shared" si="81"/>
        <v>0</v>
      </c>
      <c r="AT132">
        <f t="shared" si="82"/>
        <v>0</v>
      </c>
      <c r="AU132">
        <f t="shared" si="83"/>
        <v>0</v>
      </c>
    </row>
    <row r="133" spans="1:47" x14ac:dyDescent="0.2">
      <c r="A133" t="s">
        <v>163</v>
      </c>
      <c r="B133">
        <v>2023</v>
      </c>
      <c r="C133">
        <v>2017</v>
      </c>
      <c r="D133" t="s">
        <v>265</v>
      </c>
      <c r="E133">
        <v>0</v>
      </c>
      <c r="F133">
        <v>1</v>
      </c>
      <c r="G133">
        <v>0</v>
      </c>
      <c r="H133">
        <v>495</v>
      </c>
      <c r="I133">
        <v>8</v>
      </c>
      <c r="J133">
        <f t="shared" si="56"/>
        <v>1.6161616161616161</v>
      </c>
      <c r="K133">
        <v>446</v>
      </c>
      <c r="L133">
        <v>41</v>
      </c>
      <c r="M133">
        <v>279</v>
      </c>
      <c r="N133" t="s">
        <v>6</v>
      </c>
      <c r="O133">
        <f t="shared" si="57"/>
        <v>0</v>
      </c>
      <c r="P133">
        <f t="shared" si="58"/>
        <v>1</v>
      </c>
      <c r="Q133">
        <f t="shared" si="59"/>
        <v>0</v>
      </c>
      <c r="R133">
        <f t="shared" si="60"/>
        <v>0</v>
      </c>
      <c r="S133">
        <f t="shared" si="61"/>
        <v>0</v>
      </c>
      <c r="T133">
        <f t="shared" si="62"/>
        <v>1</v>
      </c>
      <c r="U133">
        <f t="shared" si="63"/>
        <v>0</v>
      </c>
      <c r="V133">
        <f t="shared" si="64"/>
        <v>0</v>
      </c>
      <c r="W133" t="str">
        <f>VLOOKUP(A133,[2]!Table2[[NCT Number]:[Intervention type]],11,FALSE)</f>
        <v>chemotherapy</v>
      </c>
      <c r="X133">
        <f t="shared" si="65"/>
        <v>0</v>
      </c>
      <c r="Y133">
        <f t="shared" si="66"/>
        <v>0</v>
      </c>
      <c r="Z133">
        <f t="shared" si="67"/>
        <v>1</v>
      </c>
      <c r="AA133">
        <f t="shared" si="68"/>
        <v>0</v>
      </c>
      <c r="AB133">
        <f t="shared" si="69"/>
        <v>0</v>
      </c>
      <c r="AC133">
        <f t="shared" si="70"/>
        <v>0</v>
      </c>
      <c r="AD133">
        <f t="shared" si="71"/>
        <v>0</v>
      </c>
      <c r="AE133">
        <f t="shared" si="72"/>
        <v>0</v>
      </c>
      <c r="AF133">
        <f>IF(ISNUMBER(SEARCH("endocrine", W133)), 1, 0)</f>
        <v>0</v>
      </c>
      <c r="AG133" t="s">
        <v>9</v>
      </c>
      <c r="AH133" t="s">
        <v>10</v>
      </c>
      <c r="AI133" t="s">
        <v>263</v>
      </c>
      <c r="AJ133">
        <f t="shared" si="73"/>
        <v>0</v>
      </c>
      <c r="AK133">
        <f t="shared" si="74"/>
        <v>0</v>
      </c>
      <c r="AL133">
        <f t="shared" si="75"/>
        <v>0</v>
      </c>
      <c r="AM133">
        <f t="shared" si="76"/>
        <v>0</v>
      </c>
      <c r="AN133">
        <f t="shared" si="77"/>
        <v>1</v>
      </c>
      <c r="AO133">
        <f t="shared" si="78"/>
        <v>0</v>
      </c>
      <c r="AP133" t="s">
        <v>12</v>
      </c>
      <c r="AQ133">
        <f t="shared" si="79"/>
        <v>1</v>
      </c>
      <c r="AR133">
        <f t="shared" si="80"/>
        <v>0</v>
      </c>
      <c r="AS133">
        <f t="shared" si="81"/>
        <v>0</v>
      </c>
      <c r="AT133">
        <f t="shared" si="82"/>
        <v>0</v>
      </c>
      <c r="AU133">
        <f t="shared" si="83"/>
        <v>0</v>
      </c>
    </row>
    <row r="134" spans="1:47" x14ac:dyDescent="0.2">
      <c r="A134" t="s">
        <v>164</v>
      </c>
      <c r="B134">
        <v>2023</v>
      </c>
      <c r="C134">
        <v>2014</v>
      </c>
      <c r="D134" t="s">
        <v>264</v>
      </c>
      <c r="E134">
        <v>1</v>
      </c>
      <c r="F134">
        <v>0</v>
      </c>
      <c r="G134">
        <v>0</v>
      </c>
      <c r="H134">
        <v>495</v>
      </c>
      <c r="I134">
        <v>10</v>
      </c>
      <c r="J134">
        <f t="shared" si="56"/>
        <v>2.0202020202020203</v>
      </c>
      <c r="K134">
        <v>413</v>
      </c>
      <c r="L134">
        <v>72</v>
      </c>
      <c r="M134">
        <v>412</v>
      </c>
      <c r="N134" t="s">
        <v>35</v>
      </c>
      <c r="O134">
        <f t="shared" si="57"/>
        <v>0</v>
      </c>
      <c r="P134">
        <f t="shared" si="58"/>
        <v>0</v>
      </c>
      <c r="Q134">
        <f t="shared" si="59"/>
        <v>0</v>
      </c>
      <c r="R134">
        <f t="shared" si="60"/>
        <v>0</v>
      </c>
      <c r="S134">
        <f t="shared" si="61"/>
        <v>1</v>
      </c>
      <c r="T134">
        <f t="shared" si="62"/>
        <v>0</v>
      </c>
      <c r="U134">
        <f t="shared" si="63"/>
        <v>0</v>
      </c>
      <c r="V134">
        <f t="shared" si="64"/>
        <v>0</v>
      </c>
      <c r="W134" t="str">
        <f>VLOOKUP(A134,[2]!Table2[[NCT Number]:[Intervention type]],11,FALSE)</f>
        <v>immunotherapy</v>
      </c>
      <c r="X134">
        <f t="shared" si="65"/>
        <v>1</v>
      </c>
      <c r="Y134">
        <f t="shared" si="66"/>
        <v>0</v>
      </c>
      <c r="Z134">
        <f t="shared" si="67"/>
        <v>0</v>
      </c>
      <c r="AA134">
        <f t="shared" si="68"/>
        <v>0</v>
      </c>
      <c r="AB134">
        <f t="shared" si="69"/>
        <v>0</v>
      </c>
      <c r="AC134">
        <f t="shared" si="70"/>
        <v>0</v>
      </c>
      <c r="AD134">
        <f t="shared" si="71"/>
        <v>0</v>
      </c>
      <c r="AE134">
        <f t="shared" si="72"/>
        <v>0</v>
      </c>
      <c r="AF134">
        <f>IF(ISNUMBER(SEARCH("endocrine", W134)), 1, 0)</f>
        <v>0</v>
      </c>
      <c r="AG134" t="s">
        <v>15</v>
      </c>
      <c r="AH134" t="s">
        <v>10</v>
      </c>
      <c r="AI134" t="s">
        <v>263</v>
      </c>
      <c r="AJ134">
        <f t="shared" si="73"/>
        <v>0</v>
      </c>
      <c r="AK134">
        <f t="shared" si="74"/>
        <v>0</v>
      </c>
      <c r="AL134">
        <f t="shared" si="75"/>
        <v>0</v>
      </c>
      <c r="AM134">
        <f t="shared" si="76"/>
        <v>0</v>
      </c>
      <c r="AN134">
        <f t="shared" si="77"/>
        <v>1</v>
      </c>
      <c r="AO134">
        <f t="shared" si="78"/>
        <v>0</v>
      </c>
      <c r="AP134" t="s">
        <v>86</v>
      </c>
      <c r="AQ134">
        <f t="shared" si="79"/>
        <v>0</v>
      </c>
      <c r="AR134">
        <f t="shared" si="80"/>
        <v>0</v>
      </c>
      <c r="AS134">
        <f t="shared" si="81"/>
        <v>0</v>
      </c>
      <c r="AT134">
        <f t="shared" si="82"/>
        <v>1</v>
      </c>
      <c r="AU134">
        <f t="shared" si="83"/>
        <v>0</v>
      </c>
    </row>
    <row r="135" spans="1:47" x14ac:dyDescent="0.2">
      <c r="A135" t="s">
        <v>165</v>
      </c>
      <c r="B135">
        <v>2021</v>
      </c>
      <c r="C135">
        <v>2015</v>
      </c>
      <c r="D135" t="s">
        <v>264</v>
      </c>
      <c r="E135">
        <v>1</v>
      </c>
      <c r="F135">
        <v>0</v>
      </c>
      <c r="G135">
        <v>0</v>
      </c>
      <c r="H135">
        <v>499</v>
      </c>
      <c r="I135">
        <v>3</v>
      </c>
      <c r="J135">
        <f t="shared" si="56"/>
        <v>0.60120240480961928</v>
      </c>
      <c r="K135">
        <v>332</v>
      </c>
      <c r="L135">
        <v>164</v>
      </c>
      <c r="M135">
        <v>331</v>
      </c>
      <c r="N135" t="s">
        <v>56</v>
      </c>
      <c r="O135">
        <f t="shared" si="57"/>
        <v>0</v>
      </c>
      <c r="P135">
        <f t="shared" si="58"/>
        <v>1</v>
      </c>
      <c r="Q135">
        <f t="shared" si="59"/>
        <v>0</v>
      </c>
      <c r="R135">
        <f t="shared" si="60"/>
        <v>0</v>
      </c>
      <c r="S135">
        <f t="shared" si="61"/>
        <v>0</v>
      </c>
      <c r="T135">
        <f t="shared" si="62"/>
        <v>0</v>
      </c>
      <c r="U135">
        <f t="shared" si="63"/>
        <v>0</v>
      </c>
      <c r="V135">
        <f t="shared" si="64"/>
        <v>0</v>
      </c>
      <c r="W135" t="str">
        <f>VLOOKUP(A135,[2]!Table2[[NCT Number]:[Intervention type]],11,FALSE)</f>
        <v>immunotherapy</v>
      </c>
      <c r="X135">
        <f t="shared" si="65"/>
        <v>1</v>
      </c>
      <c r="Y135">
        <f t="shared" si="66"/>
        <v>0</v>
      </c>
      <c r="Z135">
        <f t="shared" si="67"/>
        <v>0</v>
      </c>
      <c r="AA135">
        <f t="shared" si="68"/>
        <v>0</v>
      </c>
      <c r="AB135">
        <f t="shared" si="69"/>
        <v>0</v>
      </c>
      <c r="AC135">
        <f t="shared" si="70"/>
        <v>0</v>
      </c>
      <c r="AD135">
        <f t="shared" si="71"/>
        <v>0</v>
      </c>
      <c r="AE135">
        <f t="shared" si="72"/>
        <v>0</v>
      </c>
      <c r="AF135">
        <f>IF(ISNUMBER(SEARCH("endocrine", W135)), 1, 0)</f>
        <v>0</v>
      </c>
      <c r="AG135" t="s">
        <v>15</v>
      </c>
      <c r="AH135" t="s">
        <v>10</v>
      </c>
      <c r="AI135" t="s">
        <v>11</v>
      </c>
      <c r="AJ135">
        <f t="shared" si="73"/>
        <v>0</v>
      </c>
      <c r="AK135">
        <f t="shared" si="74"/>
        <v>1</v>
      </c>
      <c r="AL135">
        <f t="shared" si="75"/>
        <v>0</v>
      </c>
      <c r="AM135">
        <f t="shared" si="76"/>
        <v>0</v>
      </c>
      <c r="AN135">
        <f t="shared" si="77"/>
        <v>0</v>
      </c>
      <c r="AO135">
        <f t="shared" si="78"/>
        <v>0</v>
      </c>
      <c r="AP135" t="s">
        <v>12</v>
      </c>
      <c r="AQ135">
        <f t="shared" si="79"/>
        <v>1</v>
      </c>
      <c r="AR135">
        <f t="shared" si="80"/>
        <v>0</v>
      </c>
      <c r="AS135">
        <f t="shared" si="81"/>
        <v>0</v>
      </c>
      <c r="AT135">
        <f t="shared" si="82"/>
        <v>0</v>
      </c>
      <c r="AU135">
        <f t="shared" si="83"/>
        <v>0</v>
      </c>
    </row>
    <row r="136" spans="1:47" x14ac:dyDescent="0.2">
      <c r="A136" t="s">
        <v>166</v>
      </c>
      <c r="B136">
        <v>2023</v>
      </c>
      <c r="C136">
        <v>2018</v>
      </c>
      <c r="D136" t="s">
        <v>265</v>
      </c>
      <c r="E136">
        <v>0</v>
      </c>
      <c r="F136">
        <v>1</v>
      </c>
      <c r="G136">
        <v>0</v>
      </c>
      <c r="H136">
        <v>500</v>
      </c>
      <c r="I136">
        <v>6</v>
      </c>
      <c r="J136">
        <f t="shared" si="56"/>
        <v>1.2</v>
      </c>
      <c r="K136">
        <v>329</v>
      </c>
      <c r="L136">
        <v>165</v>
      </c>
      <c r="M136">
        <v>2</v>
      </c>
      <c r="N136" t="s">
        <v>46</v>
      </c>
      <c r="O136">
        <f t="shared" si="57"/>
        <v>1</v>
      </c>
      <c r="P136">
        <f t="shared" si="58"/>
        <v>0</v>
      </c>
      <c r="Q136">
        <f t="shared" si="59"/>
        <v>0</v>
      </c>
      <c r="R136">
        <f t="shared" si="60"/>
        <v>0</v>
      </c>
      <c r="S136">
        <f t="shared" si="61"/>
        <v>0</v>
      </c>
      <c r="T136">
        <f t="shared" si="62"/>
        <v>0</v>
      </c>
      <c r="U136">
        <f t="shared" si="63"/>
        <v>0</v>
      </c>
      <c r="V136">
        <f t="shared" si="64"/>
        <v>0</v>
      </c>
      <c r="W136" t="str">
        <f>VLOOKUP(A136,[2]!Table2[[NCT Number]:[Intervention type]],11,FALSE)</f>
        <v>immunotherapy+chemo</v>
      </c>
      <c r="X136">
        <f t="shared" si="65"/>
        <v>1</v>
      </c>
      <c r="Y136">
        <f t="shared" si="66"/>
        <v>0</v>
      </c>
      <c r="Z136">
        <f t="shared" si="67"/>
        <v>0</v>
      </c>
      <c r="AA136">
        <f t="shared" si="68"/>
        <v>0</v>
      </c>
      <c r="AB136">
        <f t="shared" si="69"/>
        <v>0</v>
      </c>
      <c r="AC136">
        <f t="shared" si="70"/>
        <v>0</v>
      </c>
      <c r="AD136">
        <f t="shared" si="71"/>
        <v>0</v>
      </c>
      <c r="AE136">
        <f t="shared" si="72"/>
        <v>1</v>
      </c>
      <c r="AF136">
        <f>IF(ISNUMBER(SEARCH("endocrine", W136)), 1, 0)</f>
        <v>0</v>
      </c>
      <c r="AG136" t="s">
        <v>9</v>
      </c>
      <c r="AH136" t="s">
        <v>10</v>
      </c>
      <c r="AI136" t="s">
        <v>42</v>
      </c>
      <c r="AJ136">
        <f t="shared" si="73"/>
        <v>0</v>
      </c>
      <c r="AK136">
        <f t="shared" si="74"/>
        <v>0</v>
      </c>
      <c r="AL136">
        <f t="shared" si="75"/>
        <v>1</v>
      </c>
      <c r="AM136">
        <f t="shared" si="76"/>
        <v>0</v>
      </c>
      <c r="AN136">
        <f t="shared" si="77"/>
        <v>0</v>
      </c>
      <c r="AO136">
        <f t="shared" si="78"/>
        <v>0</v>
      </c>
      <c r="AP136" t="s">
        <v>8</v>
      </c>
      <c r="AQ136">
        <f t="shared" si="79"/>
        <v>0</v>
      </c>
      <c r="AR136">
        <f t="shared" si="80"/>
        <v>0</v>
      </c>
      <c r="AS136">
        <f t="shared" si="81"/>
        <v>0</v>
      </c>
      <c r="AT136">
        <f t="shared" si="82"/>
        <v>0</v>
      </c>
      <c r="AU136">
        <f t="shared" si="83"/>
        <v>1</v>
      </c>
    </row>
    <row r="137" spans="1:47" x14ac:dyDescent="0.2">
      <c r="A137" t="s">
        <v>167</v>
      </c>
      <c r="B137">
        <v>2023</v>
      </c>
      <c r="C137">
        <v>2018</v>
      </c>
      <c r="D137" t="s">
        <v>265</v>
      </c>
      <c r="E137">
        <v>0</v>
      </c>
      <c r="F137">
        <v>1</v>
      </c>
      <c r="G137">
        <v>0</v>
      </c>
      <c r="H137">
        <v>501</v>
      </c>
      <c r="I137">
        <v>3</v>
      </c>
      <c r="J137">
        <f t="shared" si="56"/>
        <v>0.59880239520958078</v>
      </c>
      <c r="K137">
        <v>421</v>
      </c>
      <c r="L137">
        <v>77</v>
      </c>
      <c r="M137">
        <v>273</v>
      </c>
      <c r="N137" t="s">
        <v>6</v>
      </c>
      <c r="O137">
        <f t="shared" si="57"/>
        <v>0</v>
      </c>
      <c r="P137">
        <f t="shared" si="58"/>
        <v>1</v>
      </c>
      <c r="Q137">
        <f t="shared" si="59"/>
        <v>0</v>
      </c>
      <c r="R137">
        <f t="shared" si="60"/>
        <v>0</v>
      </c>
      <c r="S137">
        <f t="shared" si="61"/>
        <v>0</v>
      </c>
      <c r="T137">
        <f t="shared" si="62"/>
        <v>1</v>
      </c>
      <c r="U137">
        <f t="shared" si="63"/>
        <v>0</v>
      </c>
      <c r="V137">
        <f t="shared" si="64"/>
        <v>0</v>
      </c>
      <c r="W137" t="str">
        <f>VLOOKUP(A137,[2]!Table2[[NCT Number]:[Intervention type]],11,FALSE)</f>
        <v>Targeted therapy+chemo</v>
      </c>
      <c r="X137">
        <f t="shared" si="65"/>
        <v>0</v>
      </c>
      <c r="Y137">
        <f t="shared" si="66"/>
        <v>1</v>
      </c>
      <c r="Z137">
        <f t="shared" si="67"/>
        <v>0</v>
      </c>
      <c r="AA137">
        <f t="shared" si="68"/>
        <v>0</v>
      </c>
      <c r="AB137">
        <f t="shared" si="69"/>
        <v>0</v>
      </c>
      <c r="AC137">
        <f t="shared" si="70"/>
        <v>0</v>
      </c>
      <c r="AD137">
        <f t="shared" si="71"/>
        <v>1</v>
      </c>
      <c r="AE137">
        <f t="shared" si="72"/>
        <v>0</v>
      </c>
      <c r="AF137">
        <f>IF(ISNUMBER(SEARCH("endocrine", W137)), 1, 0)</f>
        <v>0</v>
      </c>
      <c r="AG137" t="s">
        <v>9</v>
      </c>
      <c r="AH137" t="s">
        <v>10</v>
      </c>
      <c r="AI137" t="s">
        <v>11</v>
      </c>
      <c r="AJ137">
        <f t="shared" si="73"/>
        <v>0</v>
      </c>
      <c r="AK137">
        <f t="shared" si="74"/>
        <v>1</v>
      </c>
      <c r="AL137">
        <f t="shared" si="75"/>
        <v>0</v>
      </c>
      <c r="AM137">
        <f t="shared" si="76"/>
        <v>0</v>
      </c>
      <c r="AN137">
        <f t="shared" si="77"/>
        <v>0</v>
      </c>
      <c r="AO137">
        <f t="shared" si="78"/>
        <v>0</v>
      </c>
      <c r="AP137" t="s">
        <v>12</v>
      </c>
      <c r="AQ137">
        <f t="shared" si="79"/>
        <v>1</v>
      </c>
      <c r="AR137">
        <f t="shared" si="80"/>
        <v>0</v>
      </c>
      <c r="AS137">
        <f t="shared" si="81"/>
        <v>0</v>
      </c>
      <c r="AT137">
        <f t="shared" si="82"/>
        <v>0</v>
      </c>
      <c r="AU137">
        <f t="shared" si="83"/>
        <v>0</v>
      </c>
    </row>
    <row r="138" spans="1:47" x14ac:dyDescent="0.2">
      <c r="A138" t="s">
        <v>168</v>
      </c>
      <c r="B138">
        <v>2021</v>
      </c>
      <c r="C138">
        <v>2016</v>
      </c>
      <c r="D138" t="s">
        <v>265</v>
      </c>
      <c r="E138">
        <v>0</v>
      </c>
      <c r="F138">
        <v>1</v>
      </c>
      <c r="G138">
        <v>0</v>
      </c>
      <c r="H138">
        <v>502</v>
      </c>
      <c r="I138">
        <v>1</v>
      </c>
      <c r="J138">
        <f t="shared" si="56"/>
        <v>0.19920318725099601</v>
      </c>
      <c r="K138">
        <v>487</v>
      </c>
      <c r="L138">
        <v>14</v>
      </c>
      <c r="M138">
        <v>5</v>
      </c>
      <c r="N138" t="s">
        <v>46</v>
      </c>
      <c r="O138">
        <f t="shared" si="57"/>
        <v>1</v>
      </c>
      <c r="P138">
        <f t="shared" si="58"/>
        <v>0</v>
      </c>
      <c r="Q138">
        <f t="shared" si="59"/>
        <v>0</v>
      </c>
      <c r="R138">
        <f t="shared" si="60"/>
        <v>0</v>
      </c>
      <c r="S138">
        <f t="shared" si="61"/>
        <v>0</v>
      </c>
      <c r="T138">
        <f t="shared" si="62"/>
        <v>0</v>
      </c>
      <c r="U138">
        <f t="shared" si="63"/>
        <v>0</v>
      </c>
      <c r="V138">
        <f t="shared" si="64"/>
        <v>0</v>
      </c>
      <c r="W138" t="str">
        <f>VLOOKUP(A138,[2]!Table2[[NCT Number]:[Intervention type]],11,FALSE)</f>
        <v>endocrine</v>
      </c>
      <c r="X138">
        <f t="shared" si="65"/>
        <v>0</v>
      </c>
      <c r="Y138">
        <f t="shared" si="66"/>
        <v>0</v>
      </c>
      <c r="Z138">
        <f t="shared" si="67"/>
        <v>0</v>
      </c>
      <c r="AA138">
        <f t="shared" si="68"/>
        <v>0</v>
      </c>
      <c r="AB138">
        <f t="shared" si="69"/>
        <v>0</v>
      </c>
      <c r="AC138">
        <f t="shared" si="70"/>
        <v>0</v>
      </c>
      <c r="AD138">
        <f t="shared" si="71"/>
        <v>0</v>
      </c>
      <c r="AE138">
        <f t="shared" si="72"/>
        <v>0</v>
      </c>
      <c r="AF138">
        <f>IF(ISNUMBER(SEARCH("endocrine", W138)), 1, 0)</f>
        <v>1</v>
      </c>
      <c r="AG138" t="s">
        <v>15</v>
      </c>
      <c r="AH138" t="s">
        <v>10</v>
      </c>
      <c r="AI138" t="s">
        <v>263</v>
      </c>
      <c r="AJ138">
        <f t="shared" si="73"/>
        <v>0</v>
      </c>
      <c r="AK138">
        <f t="shared" si="74"/>
        <v>0</v>
      </c>
      <c r="AL138">
        <f t="shared" si="75"/>
        <v>0</v>
      </c>
      <c r="AM138">
        <f t="shared" si="76"/>
        <v>0</v>
      </c>
      <c r="AN138">
        <f t="shared" si="77"/>
        <v>1</v>
      </c>
      <c r="AO138">
        <f t="shared" si="78"/>
        <v>0</v>
      </c>
      <c r="AP138" t="s">
        <v>12</v>
      </c>
      <c r="AQ138">
        <f t="shared" si="79"/>
        <v>1</v>
      </c>
      <c r="AR138">
        <f t="shared" si="80"/>
        <v>0</v>
      </c>
      <c r="AS138">
        <f t="shared" si="81"/>
        <v>0</v>
      </c>
      <c r="AT138">
        <f t="shared" si="82"/>
        <v>0</v>
      </c>
      <c r="AU138">
        <f t="shared" si="83"/>
        <v>0</v>
      </c>
    </row>
    <row r="139" spans="1:47" x14ac:dyDescent="0.2">
      <c r="A139" t="s">
        <v>169</v>
      </c>
      <c r="B139">
        <v>2023</v>
      </c>
      <c r="C139">
        <v>2015</v>
      </c>
      <c r="D139" t="s">
        <v>264</v>
      </c>
      <c r="E139">
        <v>1</v>
      </c>
      <c r="F139">
        <v>0</v>
      </c>
      <c r="G139">
        <v>0</v>
      </c>
      <c r="H139">
        <v>504</v>
      </c>
      <c r="I139">
        <v>0</v>
      </c>
      <c r="J139">
        <f t="shared" si="56"/>
        <v>0</v>
      </c>
      <c r="K139">
        <v>45</v>
      </c>
      <c r="L139">
        <v>459</v>
      </c>
      <c r="M139">
        <v>397</v>
      </c>
      <c r="N139" t="s">
        <v>18</v>
      </c>
      <c r="O139">
        <f t="shared" si="57"/>
        <v>0</v>
      </c>
      <c r="P139">
        <f t="shared" si="58"/>
        <v>0</v>
      </c>
      <c r="Q139">
        <f t="shared" si="59"/>
        <v>0</v>
      </c>
      <c r="R139">
        <f t="shared" si="60"/>
        <v>0</v>
      </c>
      <c r="S139">
        <f t="shared" si="61"/>
        <v>0</v>
      </c>
      <c r="T139">
        <f t="shared" si="62"/>
        <v>0</v>
      </c>
      <c r="U139">
        <f t="shared" si="63"/>
        <v>1</v>
      </c>
      <c r="V139">
        <f t="shared" si="64"/>
        <v>0</v>
      </c>
      <c r="W139" t="str">
        <f>VLOOKUP(A139,[2]!Table2[[NCT Number]:[Intervention type]],11,FALSE)</f>
        <v>immunotherapy</v>
      </c>
      <c r="X139">
        <f t="shared" si="65"/>
        <v>1</v>
      </c>
      <c r="Y139">
        <f t="shared" si="66"/>
        <v>0</v>
      </c>
      <c r="Z139">
        <f t="shared" si="67"/>
        <v>0</v>
      </c>
      <c r="AA139">
        <f t="shared" si="68"/>
        <v>0</v>
      </c>
      <c r="AB139">
        <f t="shared" si="69"/>
        <v>0</v>
      </c>
      <c r="AC139">
        <f t="shared" si="70"/>
        <v>0</v>
      </c>
      <c r="AD139">
        <f t="shared" si="71"/>
        <v>0</v>
      </c>
      <c r="AE139">
        <f t="shared" si="72"/>
        <v>0</v>
      </c>
      <c r="AF139">
        <f>IF(ISNUMBER(SEARCH("endocrine", W139)), 1, 0)</f>
        <v>0</v>
      </c>
      <c r="AG139" t="s">
        <v>15</v>
      </c>
      <c r="AH139" t="s">
        <v>10</v>
      </c>
      <c r="AI139" t="s">
        <v>263</v>
      </c>
      <c r="AJ139">
        <f t="shared" si="73"/>
        <v>0</v>
      </c>
      <c r="AK139">
        <f t="shared" si="74"/>
        <v>0</v>
      </c>
      <c r="AL139">
        <f t="shared" si="75"/>
        <v>0</v>
      </c>
      <c r="AM139">
        <f t="shared" si="76"/>
        <v>0</v>
      </c>
      <c r="AN139">
        <f t="shared" si="77"/>
        <v>1</v>
      </c>
      <c r="AO139">
        <f t="shared" si="78"/>
        <v>0</v>
      </c>
      <c r="AP139" t="s">
        <v>12</v>
      </c>
      <c r="AQ139">
        <f t="shared" si="79"/>
        <v>1</v>
      </c>
      <c r="AR139">
        <f t="shared" si="80"/>
        <v>0</v>
      </c>
      <c r="AS139">
        <f t="shared" si="81"/>
        <v>0</v>
      </c>
      <c r="AT139">
        <f t="shared" si="82"/>
        <v>0</v>
      </c>
      <c r="AU139">
        <f t="shared" si="83"/>
        <v>0</v>
      </c>
    </row>
    <row r="140" spans="1:47" x14ac:dyDescent="0.2">
      <c r="A140" t="s">
        <v>170</v>
      </c>
      <c r="B140">
        <v>2022</v>
      </c>
      <c r="C140">
        <v>2018</v>
      </c>
      <c r="D140" t="s">
        <v>265</v>
      </c>
      <c r="E140">
        <v>0</v>
      </c>
      <c r="F140">
        <v>1</v>
      </c>
      <c r="G140">
        <v>0</v>
      </c>
      <c r="H140">
        <v>512</v>
      </c>
      <c r="I140">
        <v>7</v>
      </c>
      <c r="J140">
        <f t="shared" si="56"/>
        <v>1.3671875</v>
      </c>
      <c r="K140">
        <v>483</v>
      </c>
      <c r="L140">
        <v>22</v>
      </c>
      <c r="M140">
        <v>267</v>
      </c>
      <c r="N140" t="s">
        <v>56</v>
      </c>
      <c r="O140">
        <f t="shared" si="57"/>
        <v>0</v>
      </c>
      <c r="P140">
        <f t="shared" si="58"/>
        <v>1</v>
      </c>
      <c r="Q140">
        <f t="shared" si="59"/>
        <v>0</v>
      </c>
      <c r="R140">
        <f t="shared" si="60"/>
        <v>0</v>
      </c>
      <c r="S140">
        <f t="shared" si="61"/>
        <v>0</v>
      </c>
      <c r="T140">
        <f t="shared" si="62"/>
        <v>0</v>
      </c>
      <c r="U140">
        <f t="shared" si="63"/>
        <v>0</v>
      </c>
      <c r="V140">
        <f t="shared" si="64"/>
        <v>0</v>
      </c>
      <c r="W140" t="str">
        <f>VLOOKUP(A140,[2]!Table2[[NCT Number]:[Intervention type]],11,FALSE)</f>
        <v>chemotherapy</v>
      </c>
      <c r="X140">
        <f t="shared" si="65"/>
        <v>0</v>
      </c>
      <c r="Y140">
        <f t="shared" si="66"/>
        <v>0</v>
      </c>
      <c r="Z140">
        <f t="shared" si="67"/>
        <v>1</v>
      </c>
      <c r="AA140">
        <f t="shared" si="68"/>
        <v>0</v>
      </c>
      <c r="AB140">
        <f t="shared" si="69"/>
        <v>0</v>
      </c>
      <c r="AC140">
        <f t="shared" si="70"/>
        <v>0</v>
      </c>
      <c r="AD140">
        <f t="shared" si="71"/>
        <v>0</v>
      </c>
      <c r="AE140">
        <f t="shared" si="72"/>
        <v>0</v>
      </c>
      <c r="AF140">
        <f>IF(ISNUMBER(SEARCH("endocrine", W140)), 1, 0)</f>
        <v>0</v>
      </c>
      <c r="AG140" t="s">
        <v>9</v>
      </c>
      <c r="AH140" t="s">
        <v>10</v>
      </c>
      <c r="AI140" t="s">
        <v>11</v>
      </c>
      <c r="AJ140">
        <f t="shared" si="73"/>
        <v>0</v>
      </c>
      <c r="AK140">
        <f t="shared" si="74"/>
        <v>1</v>
      </c>
      <c r="AL140">
        <f t="shared" si="75"/>
        <v>0</v>
      </c>
      <c r="AM140">
        <f t="shared" si="76"/>
        <v>0</v>
      </c>
      <c r="AN140">
        <f t="shared" si="77"/>
        <v>0</v>
      </c>
      <c r="AO140">
        <f t="shared" si="78"/>
        <v>0</v>
      </c>
      <c r="AP140" t="s">
        <v>8</v>
      </c>
      <c r="AQ140">
        <f t="shared" si="79"/>
        <v>0</v>
      </c>
      <c r="AR140">
        <f t="shared" si="80"/>
        <v>0</v>
      </c>
      <c r="AS140">
        <f t="shared" si="81"/>
        <v>0</v>
      </c>
      <c r="AT140">
        <f t="shared" si="82"/>
        <v>0</v>
      </c>
      <c r="AU140">
        <f t="shared" si="83"/>
        <v>1</v>
      </c>
    </row>
    <row r="141" spans="1:47" x14ac:dyDescent="0.2">
      <c r="A141" t="s">
        <v>171</v>
      </c>
      <c r="B141">
        <v>2023</v>
      </c>
      <c r="C141">
        <v>2016</v>
      </c>
      <c r="D141" t="s">
        <v>265</v>
      </c>
      <c r="E141">
        <v>0</v>
      </c>
      <c r="F141">
        <v>1</v>
      </c>
      <c r="G141">
        <v>0</v>
      </c>
      <c r="H141">
        <v>513</v>
      </c>
      <c r="I141">
        <v>3</v>
      </c>
      <c r="J141">
        <f t="shared" si="56"/>
        <v>0.58479532163742687</v>
      </c>
      <c r="K141">
        <v>322</v>
      </c>
      <c r="L141">
        <v>188</v>
      </c>
      <c r="M141">
        <v>348</v>
      </c>
      <c r="N141" t="s">
        <v>18</v>
      </c>
      <c r="O141">
        <f t="shared" si="57"/>
        <v>0</v>
      </c>
      <c r="P141">
        <f t="shared" si="58"/>
        <v>0</v>
      </c>
      <c r="Q141">
        <f t="shared" si="59"/>
        <v>0</v>
      </c>
      <c r="R141">
        <f t="shared" si="60"/>
        <v>0</v>
      </c>
      <c r="S141">
        <f t="shared" si="61"/>
        <v>0</v>
      </c>
      <c r="T141">
        <f t="shared" si="62"/>
        <v>0</v>
      </c>
      <c r="U141">
        <f t="shared" si="63"/>
        <v>1</v>
      </c>
      <c r="V141">
        <f t="shared" si="64"/>
        <v>0</v>
      </c>
      <c r="W141" t="str">
        <f>VLOOKUP(A141,[2]!Table2[[NCT Number]:[Intervention type]],11,FALSE)</f>
        <v>immunotherapy+chemo</v>
      </c>
      <c r="X141">
        <f t="shared" si="65"/>
        <v>1</v>
      </c>
      <c r="Y141">
        <f t="shared" si="66"/>
        <v>0</v>
      </c>
      <c r="Z141">
        <f t="shared" si="67"/>
        <v>0</v>
      </c>
      <c r="AA141">
        <f t="shared" si="68"/>
        <v>0</v>
      </c>
      <c r="AB141">
        <f t="shared" si="69"/>
        <v>0</v>
      </c>
      <c r="AC141">
        <f t="shared" si="70"/>
        <v>0</v>
      </c>
      <c r="AD141">
        <f t="shared" si="71"/>
        <v>0</v>
      </c>
      <c r="AE141">
        <f t="shared" si="72"/>
        <v>1</v>
      </c>
      <c r="AF141">
        <f>IF(ISNUMBER(SEARCH("endocrine", W141)), 1, 0)</f>
        <v>0</v>
      </c>
      <c r="AG141" t="s">
        <v>9</v>
      </c>
      <c r="AH141" t="s">
        <v>10</v>
      </c>
      <c r="AI141" t="s">
        <v>42</v>
      </c>
      <c r="AJ141">
        <f t="shared" si="73"/>
        <v>0</v>
      </c>
      <c r="AK141">
        <f t="shared" si="74"/>
        <v>0</v>
      </c>
      <c r="AL141">
        <f t="shared" si="75"/>
        <v>1</v>
      </c>
      <c r="AM141">
        <f t="shared" si="76"/>
        <v>0</v>
      </c>
      <c r="AN141">
        <f t="shared" si="77"/>
        <v>0</v>
      </c>
      <c r="AO141">
        <f t="shared" si="78"/>
        <v>0</v>
      </c>
      <c r="AP141" t="s">
        <v>8</v>
      </c>
      <c r="AQ141">
        <f t="shared" si="79"/>
        <v>0</v>
      </c>
      <c r="AR141">
        <f t="shared" si="80"/>
        <v>0</v>
      </c>
      <c r="AS141">
        <f t="shared" si="81"/>
        <v>0</v>
      </c>
      <c r="AT141">
        <f t="shared" si="82"/>
        <v>0</v>
      </c>
      <c r="AU141">
        <f t="shared" si="83"/>
        <v>1</v>
      </c>
    </row>
    <row r="142" spans="1:47" x14ac:dyDescent="0.2">
      <c r="A142" t="s">
        <v>172</v>
      </c>
      <c r="B142">
        <v>2022</v>
      </c>
      <c r="C142">
        <v>2018</v>
      </c>
      <c r="D142" t="s">
        <v>265</v>
      </c>
      <c r="E142">
        <v>0</v>
      </c>
      <c r="F142">
        <v>1</v>
      </c>
      <c r="G142">
        <v>0</v>
      </c>
      <c r="H142">
        <v>528</v>
      </c>
      <c r="I142">
        <v>17</v>
      </c>
      <c r="J142">
        <f t="shared" si="56"/>
        <v>3.2196969696969697</v>
      </c>
      <c r="K142">
        <v>401</v>
      </c>
      <c r="L142">
        <v>110</v>
      </c>
      <c r="M142">
        <v>314</v>
      </c>
      <c r="N142" t="s">
        <v>56</v>
      </c>
      <c r="O142">
        <f t="shared" si="57"/>
        <v>0</v>
      </c>
      <c r="P142">
        <f t="shared" si="58"/>
        <v>1</v>
      </c>
      <c r="Q142">
        <f t="shared" si="59"/>
        <v>0</v>
      </c>
      <c r="R142">
        <f t="shared" si="60"/>
        <v>0</v>
      </c>
      <c r="S142">
        <f t="shared" si="61"/>
        <v>0</v>
      </c>
      <c r="T142">
        <f t="shared" si="62"/>
        <v>0</v>
      </c>
      <c r="U142">
        <f t="shared" si="63"/>
        <v>0</v>
      </c>
      <c r="V142">
        <f t="shared" si="64"/>
        <v>0</v>
      </c>
      <c r="W142" t="str">
        <f>VLOOKUP(A142,[2]!Table2[[NCT Number]:[Intervention type]],11,FALSE)</f>
        <v>Targeted therapy+chemo</v>
      </c>
      <c r="X142">
        <f t="shared" si="65"/>
        <v>0</v>
      </c>
      <c r="Y142">
        <f t="shared" si="66"/>
        <v>1</v>
      </c>
      <c r="Z142">
        <f t="shared" si="67"/>
        <v>0</v>
      </c>
      <c r="AA142">
        <f t="shared" si="68"/>
        <v>0</v>
      </c>
      <c r="AB142">
        <f t="shared" si="69"/>
        <v>0</v>
      </c>
      <c r="AC142">
        <f t="shared" si="70"/>
        <v>0</v>
      </c>
      <c r="AD142">
        <f t="shared" si="71"/>
        <v>1</v>
      </c>
      <c r="AE142">
        <f t="shared" si="72"/>
        <v>0</v>
      </c>
      <c r="AF142">
        <f>IF(ISNUMBER(SEARCH("endocrine", W142)), 1, 0)</f>
        <v>0</v>
      </c>
      <c r="AG142" t="s">
        <v>9</v>
      </c>
      <c r="AH142" t="s">
        <v>10</v>
      </c>
      <c r="AI142" t="s">
        <v>11</v>
      </c>
      <c r="AJ142">
        <f t="shared" si="73"/>
        <v>0</v>
      </c>
      <c r="AK142">
        <f t="shared" si="74"/>
        <v>1</v>
      </c>
      <c r="AL142">
        <f t="shared" si="75"/>
        <v>0</v>
      </c>
      <c r="AM142">
        <f t="shared" si="76"/>
        <v>0</v>
      </c>
      <c r="AN142">
        <f t="shared" si="77"/>
        <v>0</v>
      </c>
      <c r="AO142">
        <f t="shared" si="78"/>
        <v>0</v>
      </c>
      <c r="AP142" t="s">
        <v>12</v>
      </c>
      <c r="AQ142">
        <f t="shared" si="79"/>
        <v>1</v>
      </c>
      <c r="AR142">
        <f t="shared" si="80"/>
        <v>0</v>
      </c>
      <c r="AS142">
        <f t="shared" si="81"/>
        <v>0</v>
      </c>
      <c r="AT142">
        <f t="shared" si="82"/>
        <v>0</v>
      </c>
      <c r="AU142">
        <f t="shared" si="83"/>
        <v>0</v>
      </c>
    </row>
    <row r="143" spans="1:47" x14ac:dyDescent="0.2">
      <c r="A143" t="s">
        <v>173</v>
      </c>
      <c r="B143">
        <v>2022</v>
      </c>
      <c r="C143">
        <v>2017</v>
      </c>
      <c r="D143" t="s">
        <v>265</v>
      </c>
      <c r="E143">
        <v>0</v>
      </c>
      <c r="F143">
        <v>1</v>
      </c>
      <c r="G143">
        <v>0</v>
      </c>
      <c r="H143">
        <v>529</v>
      </c>
      <c r="I143">
        <v>62</v>
      </c>
      <c r="J143">
        <f t="shared" si="56"/>
        <v>11.720226843100189</v>
      </c>
      <c r="K143">
        <v>418</v>
      </c>
      <c r="L143">
        <v>49</v>
      </c>
      <c r="M143">
        <v>2</v>
      </c>
      <c r="N143" t="s">
        <v>46</v>
      </c>
      <c r="O143">
        <f t="shared" si="57"/>
        <v>1</v>
      </c>
      <c r="P143">
        <f t="shared" si="58"/>
        <v>0</v>
      </c>
      <c r="Q143">
        <f t="shared" si="59"/>
        <v>0</v>
      </c>
      <c r="R143">
        <f t="shared" si="60"/>
        <v>0</v>
      </c>
      <c r="S143">
        <f t="shared" si="61"/>
        <v>0</v>
      </c>
      <c r="T143">
        <f t="shared" si="62"/>
        <v>0</v>
      </c>
      <c r="U143">
        <f t="shared" si="63"/>
        <v>0</v>
      </c>
      <c r="V143">
        <f t="shared" si="64"/>
        <v>0</v>
      </c>
      <c r="W143" t="str">
        <f>VLOOKUP(A143,[2]!Table2[[NCT Number]:[Intervention type]],11,FALSE)</f>
        <v>Targeted therapy</v>
      </c>
      <c r="X143">
        <f t="shared" si="65"/>
        <v>0</v>
      </c>
      <c r="Y143">
        <f t="shared" si="66"/>
        <v>1</v>
      </c>
      <c r="Z143">
        <f t="shared" si="67"/>
        <v>0</v>
      </c>
      <c r="AA143">
        <f t="shared" si="68"/>
        <v>0</v>
      </c>
      <c r="AB143">
        <f t="shared" si="69"/>
        <v>0</v>
      </c>
      <c r="AC143">
        <f t="shared" si="70"/>
        <v>0</v>
      </c>
      <c r="AD143">
        <f t="shared" si="71"/>
        <v>0</v>
      </c>
      <c r="AE143">
        <f t="shared" si="72"/>
        <v>0</v>
      </c>
      <c r="AF143">
        <f>IF(ISNUMBER(SEARCH("endocrine", W143)), 1, 0)</f>
        <v>0</v>
      </c>
      <c r="AG143" t="s">
        <v>15</v>
      </c>
      <c r="AH143" t="s">
        <v>10</v>
      </c>
      <c r="AI143" t="s">
        <v>11</v>
      </c>
      <c r="AJ143">
        <f t="shared" si="73"/>
        <v>0</v>
      </c>
      <c r="AK143">
        <f t="shared" si="74"/>
        <v>1</v>
      </c>
      <c r="AL143">
        <f t="shared" si="75"/>
        <v>0</v>
      </c>
      <c r="AM143">
        <f t="shared" si="76"/>
        <v>0</v>
      </c>
      <c r="AN143">
        <f t="shared" si="77"/>
        <v>0</v>
      </c>
      <c r="AO143">
        <f t="shared" si="78"/>
        <v>0</v>
      </c>
      <c r="AP143" t="s">
        <v>12</v>
      </c>
      <c r="AQ143">
        <f t="shared" si="79"/>
        <v>1</v>
      </c>
      <c r="AR143">
        <f t="shared" si="80"/>
        <v>0</v>
      </c>
      <c r="AS143">
        <f t="shared" si="81"/>
        <v>0</v>
      </c>
      <c r="AT143">
        <f t="shared" si="82"/>
        <v>0</v>
      </c>
      <c r="AU143">
        <f t="shared" si="83"/>
        <v>0</v>
      </c>
    </row>
    <row r="144" spans="1:47" x14ac:dyDescent="0.2">
      <c r="A144" t="s">
        <v>174</v>
      </c>
      <c r="B144">
        <v>2023</v>
      </c>
      <c r="C144">
        <v>2015</v>
      </c>
      <c r="D144" t="s">
        <v>264</v>
      </c>
      <c r="E144">
        <v>1</v>
      </c>
      <c r="F144">
        <v>0</v>
      </c>
      <c r="G144">
        <v>0</v>
      </c>
      <c r="H144">
        <v>530</v>
      </c>
      <c r="I144">
        <v>5</v>
      </c>
      <c r="J144">
        <f t="shared" si="56"/>
        <v>0.94339622641509435</v>
      </c>
      <c r="K144">
        <v>407</v>
      </c>
      <c r="L144">
        <v>118</v>
      </c>
      <c r="M144">
        <v>428</v>
      </c>
      <c r="N144" t="s">
        <v>30</v>
      </c>
      <c r="O144">
        <f t="shared" si="57"/>
        <v>0</v>
      </c>
      <c r="P144">
        <f t="shared" si="58"/>
        <v>0</v>
      </c>
      <c r="Q144">
        <f t="shared" si="59"/>
        <v>1</v>
      </c>
      <c r="R144">
        <f t="shared" si="60"/>
        <v>0</v>
      </c>
      <c r="S144">
        <f t="shared" si="61"/>
        <v>0</v>
      </c>
      <c r="T144">
        <f t="shared" si="62"/>
        <v>0</v>
      </c>
      <c r="U144">
        <f t="shared" si="63"/>
        <v>0</v>
      </c>
      <c r="V144">
        <f t="shared" si="64"/>
        <v>0</v>
      </c>
      <c r="W144" t="str">
        <f>VLOOKUP(A144,[2]!Table2[[NCT Number]:[Intervention type]],11,FALSE)</f>
        <v>Targeted therapy+chemo</v>
      </c>
      <c r="X144">
        <f t="shared" si="65"/>
        <v>0</v>
      </c>
      <c r="Y144">
        <f t="shared" si="66"/>
        <v>1</v>
      </c>
      <c r="Z144">
        <f t="shared" si="67"/>
        <v>0</v>
      </c>
      <c r="AA144">
        <f t="shared" si="68"/>
        <v>0</v>
      </c>
      <c r="AB144">
        <f t="shared" si="69"/>
        <v>0</v>
      </c>
      <c r="AC144">
        <f t="shared" si="70"/>
        <v>0</v>
      </c>
      <c r="AD144">
        <f t="shared" si="71"/>
        <v>1</v>
      </c>
      <c r="AE144">
        <f t="shared" si="72"/>
        <v>0</v>
      </c>
      <c r="AF144">
        <f>IF(ISNUMBER(SEARCH("endocrine", W144)), 1, 0)</f>
        <v>0</v>
      </c>
      <c r="AG144" t="s">
        <v>9</v>
      </c>
      <c r="AH144" t="s">
        <v>10</v>
      </c>
      <c r="AI144" t="s">
        <v>11</v>
      </c>
      <c r="AJ144">
        <f t="shared" si="73"/>
        <v>0</v>
      </c>
      <c r="AK144">
        <f t="shared" si="74"/>
        <v>1</v>
      </c>
      <c r="AL144">
        <f t="shared" si="75"/>
        <v>0</v>
      </c>
      <c r="AM144">
        <f t="shared" si="76"/>
        <v>0</v>
      </c>
      <c r="AN144">
        <f t="shared" si="77"/>
        <v>0</v>
      </c>
      <c r="AO144">
        <f t="shared" si="78"/>
        <v>0</v>
      </c>
      <c r="AP144" t="s">
        <v>12</v>
      </c>
      <c r="AQ144">
        <f t="shared" si="79"/>
        <v>1</v>
      </c>
      <c r="AR144">
        <f t="shared" si="80"/>
        <v>0</v>
      </c>
      <c r="AS144">
        <f t="shared" si="81"/>
        <v>0</v>
      </c>
      <c r="AT144">
        <f t="shared" si="82"/>
        <v>0</v>
      </c>
      <c r="AU144">
        <f t="shared" si="83"/>
        <v>0</v>
      </c>
    </row>
    <row r="145" spans="1:47" x14ac:dyDescent="0.2">
      <c r="A145" t="s">
        <v>175</v>
      </c>
      <c r="B145">
        <v>2020</v>
      </c>
      <c r="C145">
        <v>2015</v>
      </c>
      <c r="D145" t="s">
        <v>264</v>
      </c>
      <c r="E145">
        <v>1</v>
      </c>
      <c r="F145">
        <v>0</v>
      </c>
      <c r="G145">
        <v>0</v>
      </c>
      <c r="H145">
        <v>533</v>
      </c>
      <c r="I145">
        <v>0</v>
      </c>
      <c r="J145">
        <f t="shared" si="56"/>
        <v>0</v>
      </c>
      <c r="K145">
        <v>521</v>
      </c>
      <c r="L145">
        <v>12</v>
      </c>
      <c r="M145">
        <v>316</v>
      </c>
      <c r="N145" t="s">
        <v>21</v>
      </c>
      <c r="O145">
        <f t="shared" si="57"/>
        <v>0</v>
      </c>
      <c r="P145">
        <f t="shared" si="58"/>
        <v>0</v>
      </c>
      <c r="Q145">
        <f t="shared" si="59"/>
        <v>0</v>
      </c>
      <c r="R145">
        <f t="shared" si="60"/>
        <v>0</v>
      </c>
      <c r="S145">
        <f t="shared" si="61"/>
        <v>0</v>
      </c>
      <c r="T145">
        <f t="shared" si="62"/>
        <v>0</v>
      </c>
      <c r="U145">
        <f t="shared" si="63"/>
        <v>0</v>
      </c>
      <c r="V145">
        <f t="shared" si="64"/>
        <v>1</v>
      </c>
      <c r="W145" t="str">
        <f>VLOOKUP(A145,[2]!Table2[[NCT Number]:[Intervention type]],11,FALSE)</f>
        <v>immunotherapy</v>
      </c>
      <c r="X145">
        <f t="shared" si="65"/>
        <v>1</v>
      </c>
      <c r="Y145">
        <f t="shared" si="66"/>
        <v>0</v>
      </c>
      <c r="Z145">
        <f t="shared" si="67"/>
        <v>0</v>
      </c>
      <c r="AA145">
        <f t="shared" si="68"/>
        <v>0</v>
      </c>
      <c r="AB145">
        <f t="shared" si="69"/>
        <v>0</v>
      </c>
      <c r="AC145">
        <f t="shared" si="70"/>
        <v>0</v>
      </c>
      <c r="AD145">
        <f t="shared" si="71"/>
        <v>0</v>
      </c>
      <c r="AE145">
        <f t="shared" si="72"/>
        <v>0</v>
      </c>
      <c r="AF145">
        <f>IF(ISNUMBER(SEARCH("endocrine", W145)), 1, 0)</f>
        <v>0</v>
      </c>
      <c r="AG145" t="s">
        <v>9</v>
      </c>
      <c r="AH145" t="s">
        <v>10</v>
      </c>
      <c r="AI145" t="s">
        <v>263</v>
      </c>
      <c r="AJ145">
        <f t="shared" si="73"/>
        <v>0</v>
      </c>
      <c r="AK145">
        <f t="shared" si="74"/>
        <v>0</v>
      </c>
      <c r="AL145">
        <f t="shared" si="75"/>
        <v>0</v>
      </c>
      <c r="AM145">
        <f t="shared" si="76"/>
        <v>0</v>
      </c>
      <c r="AN145">
        <f t="shared" si="77"/>
        <v>1</v>
      </c>
      <c r="AO145">
        <f t="shared" si="78"/>
        <v>0</v>
      </c>
      <c r="AP145" t="s">
        <v>8</v>
      </c>
      <c r="AQ145">
        <f t="shared" si="79"/>
        <v>0</v>
      </c>
      <c r="AR145">
        <f t="shared" si="80"/>
        <v>0</v>
      </c>
      <c r="AS145">
        <f t="shared" si="81"/>
        <v>0</v>
      </c>
      <c r="AT145">
        <f t="shared" si="82"/>
        <v>0</v>
      </c>
      <c r="AU145">
        <f t="shared" si="83"/>
        <v>1</v>
      </c>
    </row>
    <row r="146" spans="1:47" x14ac:dyDescent="0.2">
      <c r="A146" t="s">
        <v>176</v>
      </c>
      <c r="B146">
        <v>2020</v>
      </c>
      <c r="C146">
        <v>2014</v>
      </c>
      <c r="D146" t="s">
        <v>264</v>
      </c>
      <c r="E146">
        <v>1</v>
      </c>
      <c r="F146">
        <v>0</v>
      </c>
      <c r="G146">
        <v>0</v>
      </c>
      <c r="H146">
        <v>536</v>
      </c>
      <c r="I146" t="s">
        <v>8</v>
      </c>
      <c r="J146" t="s">
        <v>8</v>
      </c>
      <c r="K146" t="s">
        <v>8</v>
      </c>
      <c r="L146" t="s">
        <v>8</v>
      </c>
      <c r="M146">
        <v>311</v>
      </c>
      <c r="N146" t="s">
        <v>6</v>
      </c>
      <c r="O146">
        <f t="shared" si="57"/>
        <v>0</v>
      </c>
      <c r="P146">
        <f t="shared" si="58"/>
        <v>1</v>
      </c>
      <c r="Q146">
        <f t="shared" si="59"/>
        <v>0</v>
      </c>
      <c r="R146">
        <f t="shared" si="60"/>
        <v>0</v>
      </c>
      <c r="S146">
        <f t="shared" si="61"/>
        <v>0</v>
      </c>
      <c r="T146">
        <f t="shared" si="62"/>
        <v>1</v>
      </c>
      <c r="U146">
        <f t="shared" si="63"/>
        <v>0</v>
      </c>
      <c r="V146">
        <f t="shared" si="64"/>
        <v>0</v>
      </c>
      <c r="W146" t="str">
        <f>VLOOKUP(A146,[2]!Table2[[NCT Number]:[Intervention type]],11,FALSE)</f>
        <v>Targeted therapy</v>
      </c>
      <c r="X146">
        <f t="shared" si="65"/>
        <v>0</v>
      </c>
      <c r="Y146">
        <f t="shared" si="66"/>
        <v>1</v>
      </c>
      <c r="Z146">
        <f t="shared" si="67"/>
        <v>0</v>
      </c>
      <c r="AA146">
        <f t="shared" si="68"/>
        <v>0</v>
      </c>
      <c r="AB146">
        <f t="shared" si="69"/>
        <v>0</v>
      </c>
      <c r="AC146">
        <f t="shared" si="70"/>
        <v>0</v>
      </c>
      <c r="AD146">
        <f t="shared" si="71"/>
        <v>0</v>
      </c>
      <c r="AE146">
        <f t="shared" si="72"/>
        <v>0</v>
      </c>
      <c r="AF146">
        <f>IF(ISNUMBER(SEARCH("endocrine", W146)), 1, 0)</f>
        <v>0</v>
      </c>
      <c r="AG146" t="s">
        <v>15</v>
      </c>
      <c r="AH146" t="s">
        <v>10</v>
      </c>
      <c r="AI146" t="s">
        <v>42</v>
      </c>
      <c r="AJ146">
        <f t="shared" si="73"/>
        <v>0</v>
      </c>
      <c r="AK146">
        <f t="shared" si="74"/>
        <v>0</v>
      </c>
      <c r="AL146">
        <f t="shared" si="75"/>
        <v>1</v>
      </c>
      <c r="AM146">
        <f t="shared" si="76"/>
        <v>0</v>
      </c>
      <c r="AN146">
        <f t="shared" si="77"/>
        <v>0</v>
      </c>
      <c r="AO146">
        <f t="shared" si="78"/>
        <v>0</v>
      </c>
      <c r="AP146" t="s">
        <v>8</v>
      </c>
      <c r="AQ146">
        <f t="shared" si="79"/>
        <v>0</v>
      </c>
      <c r="AR146">
        <f t="shared" si="80"/>
        <v>0</v>
      </c>
      <c r="AS146">
        <f t="shared" si="81"/>
        <v>0</v>
      </c>
      <c r="AT146">
        <f t="shared" si="82"/>
        <v>0</v>
      </c>
      <c r="AU146">
        <f t="shared" si="83"/>
        <v>1</v>
      </c>
    </row>
    <row r="147" spans="1:47" x14ac:dyDescent="0.2">
      <c r="A147" t="s">
        <v>177</v>
      </c>
      <c r="B147">
        <v>2017</v>
      </c>
      <c r="C147">
        <v>2014</v>
      </c>
      <c r="D147" t="s">
        <v>264</v>
      </c>
      <c r="E147">
        <v>1</v>
      </c>
      <c r="F147">
        <v>0</v>
      </c>
      <c r="G147">
        <v>0</v>
      </c>
      <c r="H147">
        <v>541</v>
      </c>
      <c r="I147">
        <v>16</v>
      </c>
      <c r="J147">
        <f t="shared" si="56"/>
        <v>2.957486136783734</v>
      </c>
      <c r="K147">
        <v>470</v>
      </c>
      <c r="L147">
        <v>55</v>
      </c>
      <c r="M147">
        <v>332</v>
      </c>
      <c r="N147" t="s">
        <v>18</v>
      </c>
      <c r="O147">
        <f t="shared" si="57"/>
        <v>0</v>
      </c>
      <c r="P147">
        <f t="shared" si="58"/>
        <v>0</v>
      </c>
      <c r="Q147">
        <f t="shared" si="59"/>
        <v>0</v>
      </c>
      <c r="R147">
        <f t="shared" si="60"/>
        <v>0</v>
      </c>
      <c r="S147">
        <f t="shared" si="61"/>
        <v>0</v>
      </c>
      <c r="T147">
        <f t="shared" si="62"/>
        <v>0</v>
      </c>
      <c r="U147">
        <f t="shared" si="63"/>
        <v>1</v>
      </c>
      <c r="V147">
        <f t="shared" si="64"/>
        <v>0</v>
      </c>
      <c r="W147" t="str">
        <f>VLOOKUP(A147,[2]!Table2[[NCT Number]:[Intervention type]],11,FALSE)</f>
        <v>immunotherapy</v>
      </c>
      <c r="X147">
        <f t="shared" si="65"/>
        <v>1</v>
      </c>
      <c r="Y147">
        <f t="shared" si="66"/>
        <v>0</v>
      </c>
      <c r="Z147">
        <f t="shared" si="67"/>
        <v>0</v>
      </c>
      <c r="AA147">
        <f t="shared" si="68"/>
        <v>0</v>
      </c>
      <c r="AB147">
        <f t="shared" si="69"/>
        <v>0</v>
      </c>
      <c r="AC147">
        <f t="shared" si="70"/>
        <v>0</v>
      </c>
      <c r="AD147">
        <f t="shared" si="71"/>
        <v>0</v>
      </c>
      <c r="AE147">
        <f t="shared" si="72"/>
        <v>0</v>
      </c>
      <c r="AF147">
        <f>IF(ISNUMBER(SEARCH("endocrine", W147)), 1, 0)</f>
        <v>0</v>
      </c>
      <c r="AG147" t="s">
        <v>15</v>
      </c>
      <c r="AH147" t="s">
        <v>10</v>
      </c>
      <c r="AI147" t="s">
        <v>8</v>
      </c>
      <c r="AJ147">
        <f t="shared" si="73"/>
        <v>0</v>
      </c>
      <c r="AK147">
        <f t="shared" si="74"/>
        <v>0</v>
      </c>
      <c r="AL147">
        <f t="shared" si="75"/>
        <v>0</v>
      </c>
      <c r="AM147">
        <f t="shared" si="76"/>
        <v>0</v>
      </c>
      <c r="AN147">
        <f t="shared" si="77"/>
        <v>0</v>
      </c>
      <c r="AO147">
        <f t="shared" si="78"/>
        <v>1</v>
      </c>
      <c r="AP147" t="s">
        <v>8</v>
      </c>
      <c r="AQ147">
        <f t="shared" si="79"/>
        <v>0</v>
      </c>
      <c r="AR147">
        <f t="shared" si="80"/>
        <v>0</v>
      </c>
      <c r="AS147">
        <f t="shared" si="81"/>
        <v>0</v>
      </c>
      <c r="AT147">
        <f t="shared" si="82"/>
        <v>0</v>
      </c>
      <c r="AU147">
        <f t="shared" si="83"/>
        <v>1</v>
      </c>
    </row>
    <row r="148" spans="1:47" x14ac:dyDescent="0.2">
      <c r="A148" t="s">
        <v>178</v>
      </c>
      <c r="B148">
        <v>2020</v>
      </c>
      <c r="C148">
        <v>2014</v>
      </c>
      <c r="D148" t="s">
        <v>264</v>
      </c>
      <c r="E148">
        <v>1</v>
      </c>
      <c r="F148">
        <v>0</v>
      </c>
      <c r="G148">
        <v>0</v>
      </c>
      <c r="H148">
        <v>542</v>
      </c>
      <c r="J148">
        <f t="shared" si="56"/>
        <v>0</v>
      </c>
      <c r="M148">
        <v>402</v>
      </c>
      <c r="N148" t="s">
        <v>30</v>
      </c>
      <c r="O148">
        <f t="shared" si="57"/>
        <v>0</v>
      </c>
      <c r="P148">
        <f t="shared" si="58"/>
        <v>0</v>
      </c>
      <c r="Q148">
        <f t="shared" si="59"/>
        <v>1</v>
      </c>
      <c r="R148">
        <f t="shared" si="60"/>
        <v>0</v>
      </c>
      <c r="S148">
        <f t="shared" si="61"/>
        <v>0</v>
      </c>
      <c r="T148">
        <f t="shared" si="62"/>
        <v>0</v>
      </c>
      <c r="U148">
        <f t="shared" si="63"/>
        <v>0</v>
      </c>
      <c r="V148">
        <f t="shared" si="64"/>
        <v>0</v>
      </c>
      <c r="W148" t="str">
        <f>VLOOKUP(A148,[2]!Table2[[NCT Number]:[Intervention type]],11,FALSE)</f>
        <v>immunotherapy</v>
      </c>
      <c r="X148">
        <f t="shared" si="65"/>
        <v>1</v>
      </c>
      <c r="Y148">
        <f t="shared" si="66"/>
        <v>0</v>
      </c>
      <c r="Z148">
        <f t="shared" si="67"/>
        <v>0</v>
      </c>
      <c r="AA148">
        <f t="shared" si="68"/>
        <v>0</v>
      </c>
      <c r="AB148">
        <f t="shared" si="69"/>
        <v>0</v>
      </c>
      <c r="AC148">
        <f t="shared" si="70"/>
        <v>0</v>
      </c>
      <c r="AD148">
        <f t="shared" si="71"/>
        <v>0</v>
      </c>
      <c r="AE148">
        <f t="shared" si="72"/>
        <v>0</v>
      </c>
      <c r="AF148">
        <f>IF(ISNUMBER(SEARCH("endocrine", W148)), 1, 0)</f>
        <v>0</v>
      </c>
      <c r="AG148" t="s">
        <v>15</v>
      </c>
      <c r="AH148" t="s">
        <v>10</v>
      </c>
      <c r="AI148" t="s">
        <v>263</v>
      </c>
      <c r="AJ148">
        <f t="shared" si="73"/>
        <v>0</v>
      </c>
      <c r="AK148">
        <f t="shared" si="74"/>
        <v>0</v>
      </c>
      <c r="AL148">
        <f t="shared" si="75"/>
        <v>0</v>
      </c>
      <c r="AM148">
        <f t="shared" si="76"/>
        <v>0</v>
      </c>
      <c r="AN148">
        <f t="shared" si="77"/>
        <v>1</v>
      </c>
      <c r="AO148">
        <f t="shared" si="78"/>
        <v>0</v>
      </c>
      <c r="AP148" t="s">
        <v>8</v>
      </c>
      <c r="AQ148">
        <f t="shared" si="79"/>
        <v>0</v>
      </c>
      <c r="AR148">
        <f t="shared" si="80"/>
        <v>0</v>
      </c>
      <c r="AS148">
        <f t="shared" si="81"/>
        <v>0</v>
      </c>
      <c r="AT148">
        <f t="shared" si="82"/>
        <v>0</v>
      </c>
      <c r="AU148">
        <f t="shared" si="83"/>
        <v>1</v>
      </c>
    </row>
    <row r="149" spans="1:47" x14ac:dyDescent="0.2">
      <c r="A149" t="s">
        <v>179</v>
      </c>
      <c r="B149">
        <v>2023</v>
      </c>
      <c r="C149">
        <v>2016</v>
      </c>
      <c r="D149" t="s">
        <v>265</v>
      </c>
      <c r="E149">
        <v>0</v>
      </c>
      <c r="F149">
        <v>1</v>
      </c>
      <c r="G149">
        <v>0</v>
      </c>
      <c r="H149">
        <v>559</v>
      </c>
      <c r="I149">
        <v>7</v>
      </c>
      <c r="J149">
        <f t="shared" si="56"/>
        <v>1.2522361359570662</v>
      </c>
      <c r="K149">
        <v>430</v>
      </c>
      <c r="L149">
        <v>122</v>
      </c>
      <c r="M149">
        <v>455</v>
      </c>
      <c r="N149" t="s">
        <v>18</v>
      </c>
      <c r="O149">
        <f t="shared" si="57"/>
        <v>0</v>
      </c>
      <c r="P149">
        <f t="shared" si="58"/>
        <v>0</v>
      </c>
      <c r="Q149">
        <f t="shared" si="59"/>
        <v>0</v>
      </c>
      <c r="R149">
        <f t="shared" si="60"/>
        <v>0</v>
      </c>
      <c r="S149">
        <f t="shared" si="61"/>
        <v>0</v>
      </c>
      <c r="T149">
        <f t="shared" si="62"/>
        <v>0</v>
      </c>
      <c r="U149">
        <f t="shared" si="63"/>
        <v>1</v>
      </c>
      <c r="V149">
        <f t="shared" si="64"/>
        <v>0</v>
      </c>
      <c r="W149" t="str">
        <f>VLOOKUP(A149,[2]!Table2[[NCT Number]:[Intervention type]],11,FALSE)</f>
        <v>immunotherapy+chemo</v>
      </c>
      <c r="X149">
        <f t="shared" si="65"/>
        <v>1</v>
      </c>
      <c r="Y149">
        <f t="shared" si="66"/>
        <v>0</v>
      </c>
      <c r="Z149">
        <f t="shared" si="67"/>
        <v>0</v>
      </c>
      <c r="AA149">
        <f t="shared" si="68"/>
        <v>0</v>
      </c>
      <c r="AB149">
        <f t="shared" si="69"/>
        <v>0</v>
      </c>
      <c r="AC149">
        <f t="shared" si="70"/>
        <v>0</v>
      </c>
      <c r="AD149">
        <f t="shared" si="71"/>
        <v>0</v>
      </c>
      <c r="AE149">
        <f t="shared" si="72"/>
        <v>1</v>
      </c>
      <c r="AF149">
        <f>IF(ISNUMBER(SEARCH("endocrine", W149)), 1, 0)</f>
        <v>0</v>
      </c>
      <c r="AG149" t="s">
        <v>9</v>
      </c>
      <c r="AH149" t="s">
        <v>10</v>
      </c>
      <c r="AI149" t="s">
        <v>263</v>
      </c>
      <c r="AJ149">
        <f t="shared" si="73"/>
        <v>0</v>
      </c>
      <c r="AK149">
        <f t="shared" si="74"/>
        <v>0</v>
      </c>
      <c r="AL149">
        <f t="shared" si="75"/>
        <v>0</v>
      </c>
      <c r="AM149">
        <f t="shared" si="76"/>
        <v>0</v>
      </c>
      <c r="AN149">
        <f t="shared" si="77"/>
        <v>1</v>
      </c>
      <c r="AO149">
        <f t="shared" si="78"/>
        <v>0</v>
      </c>
      <c r="AP149" t="s">
        <v>39</v>
      </c>
      <c r="AQ149">
        <f t="shared" si="79"/>
        <v>0</v>
      </c>
      <c r="AR149">
        <f t="shared" si="80"/>
        <v>0</v>
      </c>
      <c r="AS149">
        <f t="shared" si="81"/>
        <v>1</v>
      </c>
      <c r="AT149">
        <f t="shared" si="82"/>
        <v>0</v>
      </c>
      <c r="AU149">
        <f t="shared" si="83"/>
        <v>0</v>
      </c>
    </row>
    <row r="150" spans="1:47" x14ac:dyDescent="0.2">
      <c r="A150" t="s">
        <v>180</v>
      </c>
      <c r="B150">
        <v>2023</v>
      </c>
      <c r="C150">
        <v>2016</v>
      </c>
      <c r="D150" t="s">
        <v>265</v>
      </c>
      <c r="E150">
        <v>0</v>
      </c>
      <c r="F150">
        <v>1</v>
      </c>
      <c r="G150">
        <v>0</v>
      </c>
      <c r="H150">
        <v>560</v>
      </c>
      <c r="I150">
        <v>7</v>
      </c>
      <c r="J150">
        <f t="shared" si="56"/>
        <v>1.25</v>
      </c>
      <c r="K150">
        <v>471</v>
      </c>
      <c r="L150">
        <v>82</v>
      </c>
      <c r="M150">
        <v>365</v>
      </c>
      <c r="N150" t="s">
        <v>35</v>
      </c>
      <c r="O150">
        <f t="shared" si="57"/>
        <v>0</v>
      </c>
      <c r="P150">
        <f t="shared" si="58"/>
        <v>0</v>
      </c>
      <c r="Q150">
        <f t="shared" si="59"/>
        <v>0</v>
      </c>
      <c r="R150">
        <f t="shared" si="60"/>
        <v>0</v>
      </c>
      <c r="S150">
        <f t="shared" si="61"/>
        <v>1</v>
      </c>
      <c r="T150">
        <f t="shared" si="62"/>
        <v>0</v>
      </c>
      <c r="U150">
        <f t="shared" si="63"/>
        <v>0</v>
      </c>
      <c r="V150">
        <f t="shared" si="64"/>
        <v>0</v>
      </c>
      <c r="W150" t="str">
        <f>VLOOKUP(A150,[2]!Table2[[NCT Number]:[Intervention type]],11,FALSE)</f>
        <v>immunotherapy</v>
      </c>
      <c r="X150">
        <f t="shared" si="65"/>
        <v>1</v>
      </c>
      <c r="Y150">
        <f t="shared" si="66"/>
        <v>0</v>
      </c>
      <c r="Z150">
        <f t="shared" si="67"/>
        <v>0</v>
      </c>
      <c r="AA150">
        <f t="shared" si="68"/>
        <v>0</v>
      </c>
      <c r="AB150">
        <f t="shared" si="69"/>
        <v>0</v>
      </c>
      <c r="AC150">
        <f t="shared" si="70"/>
        <v>0</v>
      </c>
      <c r="AD150">
        <f t="shared" si="71"/>
        <v>0</v>
      </c>
      <c r="AE150">
        <f t="shared" si="72"/>
        <v>0</v>
      </c>
      <c r="AF150">
        <f>IF(ISNUMBER(SEARCH("endocrine", W150)), 1, 0)</f>
        <v>0</v>
      </c>
      <c r="AG150" t="s">
        <v>15</v>
      </c>
      <c r="AH150" t="s">
        <v>10</v>
      </c>
      <c r="AI150" t="s">
        <v>263</v>
      </c>
      <c r="AJ150">
        <f t="shared" si="73"/>
        <v>0</v>
      </c>
      <c r="AK150">
        <f t="shared" si="74"/>
        <v>0</v>
      </c>
      <c r="AL150">
        <f t="shared" si="75"/>
        <v>0</v>
      </c>
      <c r="AM150">
        <f t="shared" si="76"/>
        <v>0</v>
      </c>
      <c r="AN150">
        <f t="shared" si="77"/>
        <v>1</v>
      </c>
      <c r="AO150">
        <f t="shared" si="78"/>
        <v>0</v>
      </c>
      <c r="AP150" t="s">
        <v>12</v>
      </c>
      <c r="AQ150">
        <f t="shared" si="79"/>
        <v>1</v>
      </c>
      <c r="AR150">
        <f t="shared" si="80"/>
        <v>0</v>
      </c>
      <c r="AS150">
        <f t="shared" si="81"/>
        <v>0</v>
      </c>
      <c r="AT150">
        <f t="shared" si="82"/>
        <v>0</v>
      </c>
      <c r="AU150">
        <f t="shared" si="83"/>
        <v>0</v>
      </c>
    </row>
    <row r="151" spans="1:47" x14ac:dyDescent="0.2">
      <c r="A151" t="s">
        <v>181</v>
      </c>
      <c r="B151">
        <v>2022</v>
      </c>
      <c r="C151">
        <v>2014</v>
      </c>
      <c r="D151" t="s">
        <v>264</v>
      </c>
      <c r="E151">
        <v>1</v>
      </c>
      <c r="F151">
        <v>0</v>
      </c>
      <c r="G151">
        <v>0</v>
      </c>
      <c r="H151">
        <v>562</v>
      </c>
      <c r="I151" t="s">
        <v>8</v>
      </c>
      <c r="J151" t="s">
        <v>8</v>
      </c>
      <c r="K151" t="s">
        <v>8</v>
      </c>
      <c r="L151" t="s">
        <v>8</v>
      </c>
      <c r="M151">
        <v>0</v>
      </c>
      <c r="N151" t="s">
        <v>46</v>
      </c>
      <c r="O151">
        <f t="shared" si="57"/>
        <v>1</v>
      </c>
      <c r="P151">
        <f t="shared" si="58"/>
        <v>0</v>
      </c>
      <c r="Q151">
        <f t="shared" si="59"/>
        <v>0</v>
      </c>
      <c r="R151">
        <f t="shared" si="60"/>
        <v>0</v>
      </c>
      <c r="S151">
        <f t="shared" si="61"/>
        <v>0</v>
      </c>
      <c r="T151">
        <f t="shared" si="62"/>
        <v>0</v>
      </c>
      <c r="U151">
        <f t="shared" si="63"/>
        <v>0</v>
      </c>
      <c r="V151">
        <f t="shared" si="64"/>
        <v>0</v>
      </c>
      <c r="W151" t="str">
        <f>VLOOKUP(A151,[2]!Table2[[NCT Number]:[Intervention type]],11,FALSE)</f>
        <v>Targeted therapy</v>
      </c>
      <c r="X151">
        <f t="shared" si="65"/>
        <v>0</v>
      </c>
      <c r="Y151">
        <f t="shared" si="66"/>
        <v>1</v>
      </c>
      <c r="Z151">
        <f t="shared" si="67"/>
        <v>0</v>
      </c>
      <c r="AA151">
        <f t="shared" si="68"/>
        <v>0</v>
      </c>
      <c r="AB151">
        <f t="shared" si="69"/>
        <v>0</v>
      </c>
      <c r="AC151">
        <f t="shared" si="70"/>
        <v>0</v>
      </c>
      <c r="AD151">
        <f t="shared" si="71"/>
        <v>0</v>
      </c>
      <c r="AE151">
        <f t="shared" si="72"/>
        <v>0</v>
      </c>
      <c r="AF151">
        <f>IF(ISNUMBER(SEARCH("endocrine", W151)), 1, 0)</f>
        <v>0</v>
      </c>
      <c r="AG151" t="s">
        <v>15</v>
      </c>
      <c r="AH151" t="s">
        <v>10</v>
      </c>
      <c r="AI151" t="s">
        <v>8</v>
      </c>
      <c r="AJ151">
        <f t="shared" si="73"/>
        <v>0</v>
      </c>
      <c r="AK151">
        <f t="shared" si="74"/>
        <v>0</v>
      </c>
      <c r="AL151">
        <f t="shared" si="75"/>
        <v>0</v>
      </c>
      <c r="AM151">
        <f t="shared" si="76"/>
        <v>0</v>
      </c>
      <c r="AN151">
        <f t="shared" si="77"/>
        <v>0</v>
      </c>
      <c r="AO151">
        <f t="shared" si="78"/>
        <v>1</v>
      </c>
      <c r="AP151" t="s">
        <v>8</v>
      </c>
      <c r="AQ151">
        <f t="shared" si="79"/>
        <v>0</v>
      </c>
      <c r="AR151">
        <f t="shared" si="80"/>
        <v>0</v>
      </c>
      <c r="AS151">
        <f t="shared" si="81"/>
        <v>0</v>
      </c>
      <c r="AT151">
        <f t="shared" si="82"/>
        <v>0</v>
      </c>
      <c r="AU151">
        <f t="shared" si="83"/>
        <v>1</v>
      </c>
    </row>
    <row r="152" spans="1:47" x14ac:dyDescent="0.2">
      <c r="A152" t="s">
        <v>182</v>
      </c>
      <c r="B152">
        <v>2022</v>
      </c>
      <c r="C152">
        <v>2014</v>
      </c>
      <c r="D152" t="s">
        <v>264</v>
      </c>
      <c r="E152">
        <v>1</v>
      </c>
      <c r="F152">
        <v>0</v>
      </c>
      <c r="G152">
        <v>0</v>
      </c>
      <c r="H152">
        <v>564</v>
      </c>
      <c r="I152">
        <v>8</v>
      </c>
      <c r="J152">
        <f t="shared" si="56"/>
        <v>1.4184397163120568</v>
      </c>
      <c r="K152">
        <v>436</v>
      </c>
      <c r="L152">
        <v>120</v>
      </c>
      <c r="M152">
        <v>0</v>
      </c>
      <c r="N152" t="s">
        <v>44</v>
      </c>
      <c r="O152">
        <f t="shared" si="57"/>
        <v>0</v>
      </c>
      <c r="P152">
        <f t="shared" si="58"/>
        <v>1</v>
      </c>
      <c r="Q152">
        <f t="shared" si="59"/>
        <v>0</v>
      </c>
      <c r="R152">
        <f t="shared" si="60"/>
        <v>1</v>
      </c>
      <c r="S152">
        <f t="shared" si="61"/>
        <v>0</v>
      </c>
      <c r="T152">
        <f t="shared" si="62"/>
        <v>0</v>
      </c>
      <c r="U152">
        <f t="shared" si="63"/>
        <v>0</v>
      </c>
      <c r="V152">
        <f t="shared" si="64"/>
        <v>0</v>
      </c>
      <c r="W152" t="str">
        <f>VLOOKUP(A152,[2]!Table2[[NCT Number]:[Intervention type]],11,FALSE)</f>
        <v>Targeted therapy</v>
      </c>
      <c r="X152">
        <f t="shared" si="65"/>
        <v>0</v>
      </c>
      <c r="Y152">
        <f t="shared" si="66"/>
        <v>1</v>
      </c>
      <c r="Z152">
        <f t="shared" si="67"/>
        <v>0</v>
      </c>
      <c r="AA152">
        <f t="shared" si="68"/>
        <v>0</v>
      </c>
      <c r="AB152">
        <f t="shared" si="69"/>
        <v>0</v>
      </c>
      <c r="AC152">
        <f t="shared" si="70"/>
        <v>0</v>
      </c>
      <c r="AD152">
        <f t="shared" si="71"/>
        <v>0</v>
      </c>
      <c r="AE152">
        <f t="shared" si="72"/>
        <v>0</v>
      </c>
      <c r="AF152">
        <f>IF(ISNUMBER(SEARCH("endocrine", W152)), 1, 0)</f>
        <v>0</v>
      </c>
      <c r="AG152" t="s">
        <v>15</v>
      </c>
      <c r="AH152" t="s">
        <v>10</v>
      </c>
      <c r="AI152" t="s">
        <v>263</v>
      </c>
      <c r="AJ152">
        <f t="shared" si="73"/>
        <v>0</v>
      </c>
      <c r="AK152">
        <f t="shared" si="74"/>
        <v>0</v>
      </c>
      <c r="AL152">
        <f t="shared" si="75"/>
        <v>0</v>
      </c>
      <c r="AM152">
        <f t="shared" si="76"/>
        <v>0</v>
      </c>
      <c r="AN152">
        <f t="shared" si="77"/>
        <v>1</v>
      </c>
      <c r="AO152">
        <f t="shared" si="78"/>
        <v>0</v>
      </c>
      <c r="AP152" t="s">
        <v>12</v>
      </c>
      <c r="AQ152">
        <f t="shared" si="79"/>
        <v>1</v>
      </c>
      <c r="AR152">
        <f t="shared" si="80"/>
        <v>0</v>
      </c>
      <c r="AS152">
        <f t="shared" si="81"/>
        <v>0</v>
      </c>
      <c r="AT152">
        <f t="shared" si="82"/>
        <v>0</v>
      </c>
      <c r="AU152">
        <f t="shared" si="83"/>
        <v>0</v>
      </c>
    </row>
    <row r="153" spans="1:47" x14ac:dyDescent="0.2">
      <c r="A153" t="s">
        <v>183</v>
      </c>
      <c r="B153">
        <v>2022</v>
      </c>
      <c r="C153">
        <v>2015</v>
      </c>
      <c r="D153" t="s">
        <v>264</v>
      </c>
      <c r="E153">
        <v>1</v>
      </c>
      <c r="F153">
        <v>0</v>
      </c>
      <c r="G153">
        <v>0</v>
      </c>
      <c r="H153">
        <v>566</v>
      </c>
      <c r="I153">
        <v>1</v>
      </c>
      <c r="J153">
        <f t="shared" si="56"/>
        <v>0.17667844522968199</v>
      </c>
      <c r="K153">
        <v>416</v>
      </c>
      <c r="L153">
        <v>149</v>
      </c>
      <c r="M153">
        <v>0</v>
      </c>
      <c r="N153" t="s">
        <v>44</v>
      </c>
      <c r="O153">
        <f t="shared" si="57"/>
        <v>0</v>
      </c>
      <c r="P153">
        <f t="shared" si="58"/>
        <v>1</v>
      </c>
      <c r="Q153">
        <f t="shared" si="59"/>
        <v>0</v>
      </c>
      <c r="R153">
        <f t="shared" si="60"/>
        <v>1</v>
      </c>
      <c r="S153">
        <f t="shared" si="61"/>
        <v>0</v>
      </c>
      <c r="T153">
        <f t="shared" si="62"/>
        <v>0</v>
      </c>
      <c r="U153">
        <f t="shared" si="63"/>
        <v>0</v>
      </c>
      <c r="V153">
        <f t="shared" si="64"/>
        <v>0</v>
      </c>
      <c r="W153" t="str">
        <f>VLOOKUP(A153,[2]!Table2[[NCT Number]:[Intervention type]],11,FALSE)</f>
        <v>immunotherapy+chemo</v>
      </c>
      <c r="X153">
        <f t="shared" si="65"/>
        <v>1</v>
      </c>
      <c r="Y153">
        <f t="shared" si="66"/>
        <v>0</v>
      </c>
      <c r="Z153">
        <f t="shared" si="67"/>
        <v>0</v>
      </c>
      <c r="AA153">
        <f t="shared" si="68"/>
        <v>0</v>
      </c>
      <c r="AB153">
        <f t="shared" si="69"/>
        <v>0</v>
      </c>
      <c r="AC153">
        <f t="shared" si="70"/>
        <v>0</v>
      </c>
      <c r="AD153">
        <f t="shared" si="71"/>
        <v>0</v>
      </c>
      <c r="AE153">
        <f t="shared" si="72"/>
        <v>1</v>
      </c>
      <c r="AF153">
        <f>IF(ISNUMBER(SEARCH("endocrine", W153)), 1, 0)</f>
        <v>0</v>
      </c>
      <c r="AG153" t="s">
        <v>9</v>
      </c>
      <c r="AH153" t="s">
        <v>10</v>
      </c>
      <c r="AI153" t="s">
        <v>263</v>
      </c>
      <c r="AJ153">
        <f t="shared" si="73"/>
        <v>0</v>
      </c>
      <c r="AK153">
        <f t="shared" si="74"/>
        <v>0</v>
      </c>
      <c r="AL153">
        <f t="shared" si="75"/>
        <v>0</v>
      </c>
      <c r="AM153">
        <f t="shared" si="76"/>
        <v>0</v>
      </c>
      <c r="AN153">
        <f t="shared" si="77"/>
        <v>1</v>
      </c>
      <c r="AO153">
        <f t="shared" si="78"/>
        <v>0</v>
      </c>
      <c r="AP153" t="s">
        <v>12</v>
      </c>
      <c r="AQ153">
        <f t="shared" si="79"/>
        <v>1</v>
      </c>
      <c r="AR153">
        <f t="shared" si="80"/>
        <v>0</v>
      </c>
      <c r="AS153">
        <f t="shared" si="81"/>
        <v>0</v>
      </c>
      <c r="AT153">
        <f t="shared" si="82"/>
        <v>0</v>
      </c>
      <c r="AU153">
        <f t="shared" si="83"/>
        <v>0</v>
      </c>
    </row>
    <row r="154" spans="1:47" x14ac:dyDescent="0.2">
      <c r="A154" t="s">
        <v>184</v>
      </c>
      <c r="B154">
        <v>2020</v>
      </c>
      <c r="C154">
        <v>2016</v>
      </c>
      <c r="D154" t="s">
        <v>265</v>
      </c>
      <c r="E154">
        <v>0</v>
      </c>
      <c r="F154">
        <v>1</v>
      </c>
      <c r="G154">
        <v>0</v>
      </c>
      <c r="H154">
        <v>567</v>
      </c>
      <c r="I154">
        <v>16</v>
      </c>
      <c r="J154">
        <f t="shared" si="56"/>
        <v>2.821869488536155</v>
      </c>
      <c r="K154">
        <v>420</v>
      </c>
      <c r="L154">
        <v>131</v>
      </c>
      <c r="M154">
        <v>300</v>
      </c>
      <c r="N154" t="s">
        <v>56</v>
      </c>
      <c r="O154">
        <f t="shared" si="57"/>
        <v>0</v>
      </c>
      <c r="P154">
        <f t="shared" si="58"/>
        <v>1</v>
      </c>
      <c r="Q154">
        <f t="shared" si="59"/>
        <v>0</v>
      </c>
      <c r="R154">
        <f t="shared" si="60"/>
        <v>0</v>
      </c>
      <c r="S154">
        <f t="shared" si="61"/>
        <v>0</v>
      </c>
      <c r="T154">
        <f t="shared" si="62"/>
        <v>0</v>
      </c>
      <c r="U154">
        <f t="shared" si="63"/>
        <v>0</v>
      </c>
      <c r="V154">
        <f t="shared" si="64"/>
        <v>0</v>
      </c>
      <c r="W154" t="str">
        <f>VLOOKUP(A154,[2]!Table2[[NCT Number]:[Intervention type]],11,FALSE)</f>
        <v>Targeted therapy+chemo</v>
      </c>
      <c r="X154">
        <f t="shared" si="65"/>
        <v>0</v>
      </c>
      <c r="Y154">
        <f t="shared" si="66"/>
        <v>1</v>
      </c>
      <c r="Z154">
        <f t="shared" si="67"/>
        <v>0</v>
      </c>
      <c r="AA154">
        <f t="shared" si="68"/>
        <v>0</v>
      </c>
      <c r="AB154">
        <f t="shared" si="69"/>
        <v>0</v>
      </c>
      <c r="AC154">
        <f t="shared" si="70"/>
        <v>0</v>
      </c>
      <c r="AD154">
        <f t="shared" si="71"/>
        <v>1</v>
      </c>
      <c r="AE154">
        <f t="shared" si="72"/>
        <v>0</v>
      </c>
      <c r="AF154">
        <f>IF(ISNUMBER(SEARCH("endocrine", W154)), 1, 0)</f>
        <v>0</v>
      </c>
      <c r="AG154" t="s">
        <v>9</v>
      </c>
      <c r="AH154" t="s">
        <v>10</v>
      </c>
      <c r="AI154" t="s">
        <v>32</v>
      </c>
      <c r="AJ154">
        <f t="shared" si="73"/>
        <v>0</v>
      </c>
      <c r="AK154">
        <f t="shared" si="74"/>
        <v>0</v>
      </c>
      <c r="AL154">
        <f t="shared" si="75"/>
        <v>0</v>
      </c>
      <c r="AM154">
        <f t="shared" si="76"/>
        <v>1</v>
      </c>
      <c r="AN154">
        <f t="shared" si="77"/>
        <v>0</v>
      </c>
      <c r="AO154">
        <f t="shared" si="78"/>
        <v>0</v>
      </c>
      <c r="AP154" t="s">
        <v>50</v>
      </c>
      <c r="AQ154">
        <f t="shared" si="79"/>
        <v>0</v>
      </c>
      <c r="AR154">
        <f t="shared" si="80"/>
        <v>1</v>
      </c>
      <c r="AS154">
        <f t="shared" si="81"/>
        <v>0</v>
      </c>
      <c r="AT154">
        <f t="shared" si="82"/>
        <v>0</v>
      </c>
      <c r="AU154">
        <f t="shared" si="83"/>
        <v>0</v>
      </c>
    </row>
    <row r="155" spans="1:47" x14ac:dyDescent="0.2">
      <c r="A155" t="s">
        <v>184</v>
      </c>
      <c r="B155">
        <v>2021</v>
      </c>
      <c r="C155">
        <v>2017</v>
      </c>
      <c r="D155" t="s">
        <v>265</v>
      </c>
      <c r="E155">
        <v>0</v>
      </c>
      <c r="F155">
        <v>1</v>
      </c>
      <c r="G155">
        <v>0</v>
      </c>
      <c r="H155">
        <v>567</v>
      </c>
      <c r="I155">
        <v>16</v>
      </c>
      <c r="J155">
        <f t="shared" si="56"/>
        <v>2.821869488536155</v>
      </c>
      <c r="K155">
        <v>420</v>
      </c>
      <c r="L155">
        <v>131</v>
      </c>
      <c r="M155">
        <v>300</v>
      </c>
      <c r="N155" t="s">
        <v>56</v>
      </c>
      <c r="O155">
        <f t="shared" si="57"/>
        <v>0</v>
      </c>
      <c r="P155">
        <f t="shared" si="58"/>
        <v>1</v>
      </c>
      <c r="Q155">
        <f t="shared" si="59"/>
        <v>0</v>
      </c>
      <c r="R155">
        <f t="shared" si="60"/>
        <v>0</v>
      </c>
      <c r="S155">
        <f t="shared" si="61"/>
        <v>0</v>
      </c>
      <c r="T155">
        <f t="shared" si="62"/>
        <v>0</v>
      </c>
      <c r="U155">
        <f t="shared" si="63"/>
        <v>0</v>
      </c>
      <c r="V155">
        <f t="shared" si="64"/>
        <v>0</v>
      </c>
      <c r="W155" t="str">
        <f>VLOOKUP(A155,[2]!Table2[[NCT Number]:[Intervention type]],11,FALSE)</f>
        <v>Targeted therapy+chemo</v>
      </c>
      <c r="X155">
        <f t="shared" si="65"/>
        <v>0</v>
      </c>
      <c r="Y155">
        <f t="shared" si="66"/>
        <v>1</v>
      </c>
      <c r="Z155">
        <f t="shared" si="67"/>
        <v>0</v>
      </c>
      <c r="AA155">
        <f t="shared" si="68"/>
        <v>0</v>
      </c>
      <c r="AB155">
        <f t="shared" si="69"/>
        <v>0</v>
      </c>
      <c r="AC155">
        <f t="shared" si="70"/>
        <v>0</v>
      </c>
      <c r="AD155">
        <f t="shared" si="71"/>
        <v>1</v>
      </c>
      <c r="AE155">
        <f t="shared" si="72"/>
        <v>0</v>
      </c>
      <c r="AF155">
        <f>IF(ISNUMBER(SEARCH("endocrine", W155)), 1, 0)</f>
        <v>0</v>
      </c>
      <c r="AG155" t="s">
        <v>9</v>
      </c>
      <c r="AH155" t="s">
        <v>10</v>
      </c>
      <c r="AI155" t="s">
        <v>32</v>
      </c>
      <c r="AJ155">
        <f t="shared" si="73"/>
        <v>0</v>
      </c>
      <c r="AK155">
        <f t="shared" si="74"/>
        <v>0</v>
      </c>
      <c r="AL155">
        <f t="shared" si="75"/>
        <v>0</v>
      </c>
      <c r="AM155">
        <f t="shared" si="76"/>
        <v>1</v>
      </c>
      <c r="AN155">
        <f t="shared" si="77"/>
        <v>0</v>
      </c>
      <c r="AO155">
        <f t="shared" si="78"/>
        <v>0</v>
      </c>
      <c r="AP155" t="s">
        <v>50</v>
      </c>
      <c r="AQ155">
        <f t="shared" si="79"/>
        <v>0</v>
      </c>
      <c r="AR155">
        <f t="shared" si="80"/>
        <v>1</v>
      </c>
      <c r="AS155">
        <f t="shared" si="81"/>
        <v>0</v>
      </c>
      <c r="AT155">
        <f t="shared" si="82"/>
        <v>0</v>
      </c>
      <c r="AU155">
        <f t="shared" si="83"/>
        <v>0</v>
      </c>
    </row>
    <row r="156" spans="1:47" x14ac:dyDescent="0.2">
      <c r="A156" t="s">
        <v>185</v>
      </c>
      <c r="B156">
        <v>2022</v>
      </c>
      <c r="C156">
        <v>2017</v>
      </c>
      <c r="D156" t="s">
        <v>265</v>
      </c>
      <c r="E156">
        <v>0</v>
      </c>
      <c r="F156">
        <v>1</v>
      </c>
      <c r="G156">
        <v>0</v>
      </c>
      <c r="H156">
        <v>568</v>
      </c>
      <c r="I156">
        <v>1</v>
      </c>
      <c r="J156">
        <f t="shared" si="56"/>
        <v>0.176056338028169</v>
      </c>
      <c r="K156">
        <v>441</v>
      </c>
      <c r="L156">
        <v>126</v>
      </c>
      <c r="M156">
        <v>393</v>
      </c>
      <c r="N156" t="s">
        <v>18</v>
      </c>
      <c r="O156">
        <f t="shared" si="57"/>
        <v>0</v>
      </c>
      <c r="P156">
        <f t="shared" si="58"/>
        <v>0</v>
      </c>
      <c r="Q156">
        <f t="shared" si="59"/>
        <v>0</v>
      </c>
      <c r="R156">
        <f t="shared" si="60"/>
        <v>0</v>
      </c>
      <c r="S156">
        <f t="shared" si="61"/>
        <v>0</v>
      </c>
      <c r="T156">
        <f t="shared" si="62"/>
        <v>0</v>
      </c>
      <c r="U156">
        <f t="shared" si="63"/>
        <v>1</v>
      </c>
      <c r="V156">
        <f t="shared" si="64"/>
        <v>0</v>
      </c>
      <c r="W156" t="str">
        <f>VLOOKUP(A156,[2]!Table2[[NCT Number]:[Intervention type]],11,FALSE)</f>
        <v>immunotherapy</v>
      </c>
      <c r="X156">
        <f t="shared" si="65"/>
        <v>1</v>
      </c>
      <c r="Y156">
        <f t="shared" si="66"/>
        <v>0</v>
      </c>
      <c r="Z156">
        <f t="shared" si="67"/>
        <v>0</v>
      </c>
      <c r="AA156">
        <f t="shared" si="68"/>
        <v>0</v>
      </c>
      <c r="AB156">
        <f t="shared" si="69"/>
        <v>0</v>
      </c>
      <c r="AC156">
        <f t="shared" si="70"/>
        <v>0</v>
      </c>
      <c r="AD156">
        <f t="shared" si="71"/>
        <v>0</v>
      </c>
      <c r="AE156">
        <f t="shared" si="72"/>
        <v>0</v>
      </c>
      <c r="AF156">
        <f>IF(ISNUMBER(SEARCH("endocrine", W156)), 1, 0)</f>
        <v>0</v>
      </c>
      <c r="AG156" t="s">
        <v>9</v>
      </c>
      <c r="AH156" t="s">
        <v>10</v>
      </c>
      <c r="AI156" t="s">
        <v>263</v>
      </c>
      <c r="AJ156">
        <f t="shared" si="73"/>
        <v>0</v>
      </c>
      <c r="AK156">
        <f t="shared" si="74"/>
        <v>0</v>
      </c>
      <c r="AL156">
        <f t="shared" si="75"/>
        <v>0</v>
      </c>
      <c r="AM156">
        <f t="shared" si="76"/>
        <v>0</v>
      </c>
      <c r="AN156">
        <f t="shared" si="77"/>
        <v>1</v>
      </c>
      <c r="AO156">
        <f t="shared" si="78"/>
        <v>0</v>
      </c>
      <c r="AP156" t="s">
        <v>12</v>
      </c>
      <c r="AQ156">
        <f t="shared" si="79"/>
        <v>1</v>
      </c>
      <c r="AR156">
        <f t="shared" si="80"/>
        <v>0</v>
      </c>
      <c r="AS156">
        <f t="shared" si="81"/>
        <v>0</v>
      </c>
      <c r="AT156">
        <f t="shared" si="82"/>
        <v>0</v>
      </c>
      <c r="AU156">
        <f t="shared" si="83"/>
        <v>0</v>
      </c>
    </row>
    <row r="157" spans="1:47" x14ac:dyDescent="0.2">
      <c r="A157" t="s">
        <v>186</v>
      </c>
      <c r="B157">
        <v>2023</v>
      </c>
      <c r="C157">
        <v>2015</v>
      </c>
      <c r="D157" t="s">
        <v>264</v>
      </c>
      <c r="E157">
        <v>1</v>
      </c>
      <c r="F157">
        <v>0</v>
      </c>
      <c r="G157">
        <v>0</v>
      </c>
      <c r="H157">
        <v>570</v>
      </c>
      <c r="I157">
        <v>5</v>
      </c>
      <c r="J157">
        <f t="shared" si="56"/>
        <v>0.8771929824561403</v>
      </c>
      <c r="K157">
        <v>356</v>
      </c>
      <c r="L157">
        <v>209</v>
      </c>
      <c r="M157">
        <v>307</v>
      </c>
      <c r="N157" t="s">
        <v>6</v>
      </c>
      <c r="O157">
        <f t="shared" si="57"/>
        <v>0</v>
      </c>
      <c r="P157">
        <f t="shared" si="58"/>
        <v>1</v>
      </c>
      <c r="Q157">
        <f t="shared" si="59"/>
        <v>0</v>
      </c>
      <c r="R157">
        <f t="shared" si="60"/>
        <v>0</v>
      </c>
      <c r="S157">
        <f t="shared" si="61"/>
        <v>0</v>
      </c>
      <c r="T157">
        <f t="shared" si="62"/>
        <v>1</v>
      </c>
      <c r="U157">
        <f t="shared" si="63"/>
        <v>0</v>
      </c>
      <c r="V157">
        <f t="shared" si="64"/>
        <v>0</v>
      </c>
      <c r="W157" t="str">
        <f>VLOOKUP(A157,[2]!Table2[[NCT Number]:[Intervention type]],11,FALSE)</f>
        <v>immunotherapy+chemo</v>
      </c>
      <c r="X157">
        <f t="shared" si="65"/>
        <v>1</v>
      </c>
      <c r="Y157">
        <f t="shared" si="66"/>
        <v>0</v>
      </c>
      <c r="Z157">
        <f t="shared" si="67"/>
        <v>0</v>
      </c>
      <c r="AA157">
        <f t="shared" si="68"/>
        <v>0</v>
      </c>
      <c r="AB157">
        <f t="shared" si="69"/>
        <v>0</v>
      </c>
      <c r="AC157">
        <f t="shared" si="70"/>
        <v>0</v>
      </c>
      <c r="AD157">
        <f t="shared" si="71"/>
        <v>0</v>
      </c>
      <c r="AE157">
        <f t="shared" si="72"/>
        <v>1</v>
      </c>
      <c r="AF157">
        <f>IF(ISNUMBER(SEARCH("endocrine", W157)), 1, 0)</f>
        <v>0</v>
      </c>
      <c r="AG157" t="s">
        <v>9</v>
      </c>
      <c r="AH157" t="s">
        <v>10</v>
      </c>
      <c r="AI157" t="s">
        <v>11</v>
      </c>
      <c r="AJ157">
        <f t="shared" si="73"/>
        <v>0</v>
      </c>
      <c r="AK157">
        <f t="shared" si="74"/>
        <v>1</v>
      </c>
      <c r="AL157">
        <f t="shared" si="75"/>
        <v>0</v>
      </c>
      <c r="AM157">
        <f t="shared" si="76"/>
        <v>0</v>
      </c>
      <c r="AN157">
        <f t="shared" si="77"/>
        <v>0</v>
      </c>
      <c r="AO157">
        <f t="shared" si="78"/>
        <v>0</v>
      </c>
      <c r="AP157" t="s">
        <v>12</v>
      </c>
      <c r="AQ157">
        <f t="shared" si="79"/>
        <v>1</v>
      </c>
      <c r="AR157">
        <f t="shared" si="80"/>
        <v>0</v>
      </c>
      <c r="AS157">
        <f t="shared" si="81"/>
        <v>0</v>
      </c>
      <c r="AT157">
        <f t="shared" si="82"/>
        <v>0</v>
      </c>
      <c r="AU157">
        <f t="shared" si="83"/>
        <v>0</v>
      </c>
    </row>
    <row r="158" spans="1:47" x14ac:dyDescent="0.2">
      <c r="A158" t="s">
        <v>187</v>
      </c>
      <c r="B158">
        <v>2023</v>
      </c>
      <c r="C158">
        <v>2015</v>
      </c>
      <c r="D158" t="s">
        <v>264</v>
      </c>
      <c r="E158">
        <v>1</v>
      </c>
      <c r="F158">
        <v>0</v>
      </c>
      <c r="G158">
        <v>0</v>
      </c>
      <c r="H158">
        <v>572</v>
      </c>
      <c r="I158">
        <v>8</v>
      </c>
      <c r="J158">
        <f t="shared" si="56"/>
        <v>1.3986013986013985</v>
      </c>
      <c r="K158">
        <v>377</v>
      </c>
      <c r="L158">
        <v>187</v>
      </c>
      <c r="M158">
        <v>1</v>
      </c>
      <c r="N158" t="s">
        <v>46</v>
      </c>
      <c r="O158">
        <f t="shared" si="57"/>
        <v>1</v>
      </c>
      <c r="P158">
        <f t="shared" si="58"/>
        <v>0</v>
      </c>
      <c r="Q158">
        <f t="shared" si="59"/>
        <v>0</v>
      </c>
      <c r="R158">
        <f t="shared" si="60"/>
        <v>0</v>
      </c>
      <c r="S158">
        <f t="shared" si="61"/>
        <v>0</v>
      </c>
      <c r="T158">
        <f t="shared" si="62"/>
        <v>0</v>
      </c>
      <c r="U158">
        <f t="shared" si="63"/>
        <v>0</v>
      </c>
      <c r="V158">
        <f t="shared" si="64"/>
        <v>0</v>
      </c>
      <c r="W158" t="str">
        <f>VLOOKUP(A158,[2]!Table2[[NCT Number]:[Intervention type]],11,FALSE)</f>
        <v>Targeted therapy</v>
      </c>
      <c r="X158">
        <f t="shared" si="65"/>
        <v>0</v>
      </c>
      <c r="Y158">
        <f t="shared" si="66"/>
        <v>1</v>
      </c>
      <c r="Z158">
        <f t="shared" si="67"/>
        <v>0</v>
      </c>
      <c r="AA158">
        <f t="shared" si="68"/>
        <v>0</v>
      </c>
      <c r="AB158">
        <f t="shared" si="69"/>
        <v>0</v>
      </c>
      <c r="AC158">
        <f t="shared" si="70"/>
        <v>0</v>
      </c>
      <c r="AD158">
        <f t="shared" si="71"/>
        <v>0</v>
      </c>
      <c r="AE158">
        <f t="shared" si="72"/>
        <v>0</v>
      </c>
      <c r="AF158">
        <f>IF(ISNUMBER(SEARCH("endocrine", W158)), 1, 0)</f>
        <v>0</v>
      </c>
      <c r="AG158" t="s">
        <v>9</v>
      </c>
      <c r="AH158" t="s">
        <v>10</v>
      </c>
      <c r="AI158" t="s">
        <v>11</v>
      </c>
      <c r="AJ158">
        <f t="shared" si="73"/>
        <v>0</v>
      </c>
      <c r="AK158">
        <f t="shared" si="74"/>
        <v>1</v>
      </c>
      <c r="AL158">
        <f t="shared" si="75"/>
        <v>0</v>
      </c>
      <c r="AM158">
        <f t="shared" si="76"/>
        <v>0</v>
      </c>
      <c r="AN158">
        <f t="shared" si="77"/>
        <v>0</v>
      </c>
      <c r="AO158">
        <f t="shared" si="78"/>
        <v>0</v>
      </c>
      <c r="AP158" t="s">
        <v>12</v>
      </c>
      <c r="AQ158">
        <f t="shared" si="79"/>
        <v>1</v>
      </c>
      <c r="AR158">
        <f t="shared" si="80"/>
        <v>0</v>
      </c>
      <c r="AS158">
        <f t="shared" si="81"/>
        <v>0</v>
      </c>
      <c r="AT158">
        <f t="shared" si="82"/>
        <v>0</v>
      </c>
      <c r="AU158">
        <f t="shared" si="83"/>
        <v>0</v>
      </c>
    </row>
    <row r="159" spans="1:47" x14ac:dyDescent="0.2">
      <c r="A159" t="s">
        <v>188</v>
      </c>
      <c r="B159">
        <v>2020</v>
      </c>
      <c r="C159">
        <v>2015</v>
      </c>
      <c r="D159" t="s">
        <v>264</v>
      </c>
      <c r="E159">
        <v>1</v>
      </c>
      <c r="F159">
        <v>0</v>
      </c>
      <c r="G159">
        <v>0</v>
      </c>
      <c r="H159">
        <v>572</v>
      </c>
      <c r="I159">
        <v>4</v>
      </c>
      <c r="J159">
        <f t="shared" si="56"/>
        <v>0.69930069930069927</v>
      </c>
      <c r="K159">
        <v>467</v>
      </c>
      <c r="L159">
        <v>75</v>
      </c>
      <c r="M159">
        <v>389</v>
      </c>
      <c r="N159" t="s">
        <v>18</v>
      </c>
      <c r="O159">
        <f t="shared" si="57"/>
        <v>0</v>
      </c>
      <c r="P159">
        <f t="shared" si="58"/>
        <v>0</v>
      </c>
      <c r="Q159">
        <f t="shared" si="59"/>
        <v>0</v>
      </c>
      <c r="R159">
        <f t="shared" si="60"/>
        <v>0</v>
      </c>
      <c r="S159">
        <f t="shared" si="61"/>
        <v>0</v>
      </c>
      <c r="T159">
        <f t="shared" si="62"/>
        <v>0</v>
      </c>
      <c r="U159">
        <f t="shared" si="63"/>
        <v>1</v>
      </c>
      <c r="V159">
        <f t="shared" si="64"/>
        <v>0</v>
      </c>
      <c r="W159" t="str">
        <f>VLOOKUP(A159,[2]!Table2[[NCT Number]:[Intervention type]],11,FALSE)</f>
        <v>immunotherapy</v>
      </c>
      <c r="X159">
        <f t="shared" si="65"/>
        <v>1</v>
      </c>
      <c r="Y159">
        <f t="shared" si="66"/>
        <v>0</v>
      </c>
      <c r="Z159">
        <f t="shared" si="67"/>
        <v>0</v>
      </c>
      <c r="AA159">
        <f t="shared" si="68"/>
        <v>0</v>
      </c>
      <c r="AB159">
        <f t="shared" si="69"/>
        <v>0</v>
      </c>
      <c r="AC159">
        <f t="shared" si="70"/>
        <v>0</v>
      </c>
      <c r="AD159">
        <f t="shared" si="71"/>
        <v>0</v>
      </c>
      <c r="AE159">
        <f t="shared" si="72"/>
        <v>0</v>
      </c>
      <c r="AF159">
        <f>IF(ISNUMBER(SEARCH("endocrine", W159)), 1, 0)</f>
        <v>0</v>
      </c>
      <c r="AG159" t="s">
        <v>15</v>
      </c>
      <c r="AH159" t="s">
        <v>10</v>
      </c>
      <c r="AI159" t="s">
        <v>11</v>
      </c>
      <c r="AJ159">
        <f t="shared" si="73"/>
        <v>0</v>
      </c>
      <c r="AK159">
        <f t="shared" si="74"/>
        <v>1</v>
      </c>
      <c r="AL159">
        <f t="shared" si="75"/>
        <v>0</v>
      </c>
      <c r="AM159">
        <f t="shared" si="76"/>
        <v>0</v>
      </c>
      <c r="AN159">
        <f t="shared" si="77"/>
        <v>0</v>
      </c>
      <c r="AO159">
        <f t="shared" si="78"/>
        <v>0</v>
      </c>
      <c r="AP159" t="s">
        <v>12</v>
      </c>
      <c r="AQ159">
        <f t="shared" si="79"/>
        <v>1</v>
      </c>
      <c r="AR159">
        <f t="shared" si="80"/>
        <v>0</v>
      </c>
      <c r="AS159">
        <f t="shared" si="81"/>
        <v>0</v>
      </c>
      <c r="AT159">
        <f t="shared" si="82"/>
        <v>0</v>
      </c>
      <c r="AU159">
        <f t="shared" si="83"/>
        <v>0</v>
      </c>
    </row>
    <row r="160" spans="1:47" x14ac:dyDescent="0.2">
      <c r="A160" t="s">
        <v>189</v>
      </c>
      <c r="B160">
        <v>2022</v>
      </c>
      <c r="C160">
        <v>2016</v>
      </c>
      <c r="D160" t="s">
        <v>265</v>
      </c>
      <c r="E160">
        <v>0</v>
      </c>
      <c r="F160">
        <v>1</v>
      </c>
      <c r="G160">
        <v>0</v>
      </c>
      <c r="H160">
        <v>578</v>
      </c>
      <c r="I160">
        <v>8</v>
      </c>
      <c r="J160">
        <f t="shared" si="56"/>
        <v>1.3840830449826989</v>
      </c>
      <c r="K160">
        <v>396</v>
      </c>
      <c r="L160">
        <v>174</v>
      </c>
      <c r="M160">
        <v>384</v>
      </c>
      <c r="N160" t="s">
        <v>18</v>
      </c>
      <c r="O160">
        <f t="shared" si="57"/>
        <v>0</v>
      </c>
      <c r="P160">
        <f t="shared" si="58"/>
        <v>0</v>
      </c>
      <c r="Q160">
        <f t="shared" si="59"/>
        <v>0</v>
      </c>
      <c r="R160">
        <f t="shared" si="60"/>
        <v>0</v>
      </c>
      <c r="S160">
        <f t="shared" si="61"/>
        <v>0</v>
      </c>
      <c r="T160">
        <f t="shared" si="62"/>
        <v>0</v>
      </c>
      <c r="U160">
        <f t="shared" si="63"/>
        <v>1</v>
      </c>
      <c r="V160">
        <f t="shared" si="64"/>
        <v>0</v>
      </c>
      <c r="W160" t="str">
        <f>VLOOKUP(A160,[2]!Table2[[NCT Number]:[Intervention type]],11,FALSE)</f>
        <v>immunotherapy+chemo</v>
      </c>
      <c r="X160">
        <f t="shared" si="65"/>
        <v>1</v>
      </c>
      <c r="Y160">
        <f t="shared" si="66"/>
        <v>0</v>
      </c>
      <c r="Z160">
        <f t="shared" si="67"/>
        <v>0</v>
      </c>
      <c r="AA160">
        <f t="shared" si="68"/>
        <v>0</v>
      </c>
      <c r="AB160">
        <f t="shared" si="69"/>
        <v>0</v>
      </c>
      <c r="AC160">
        <f t="shared" si="70"/>
        <v>0</v>
      </c>
      <c r="AD160">
        <f t="shared" si="71"/>
        <v>0</v>
      </c>
      <c r="AE160">
        <f t="shared" si="72"/>
        <v>1</v>
      </c>
      <c r="AF160">
        <f>IF(ISNUMBER(SEARCH("endocrine", W160)), 1, 0)</f>
        <v>0</v>
      </c>
      <c r="AG160" t="s">
        <v>9</v>
      </c>
      <c r="AH160" t="s">
        <v>10</v>
      </c>
      <c r="AI160" t="s">
        <v>11</v>
      </c>
      <c r="AJ160">
        <f t="shared" si="73"/>
        <v>0</v>
      </c>
      <c r="AK160">
        <f t="shared" si="74"/>
        <v>1</v>
      </c>
      <c r="AL160">
        <f t="shared" si="75"/>
        <v>0</v>
      </c>
      <c r="AM160">
        <f t="shared" si="76"/>
        <v>0</v>
      </c>
      <c r="AN160">
        <f t="shared" si="77"/>
        <v>0</v>
      </c>
      <c r="AO160">
        <f t="shared" si="78"/>
        <v>0</v>
      </c>
      <c r="AP160" t="s">
        <v>8</v>
      </c>
      <c r="AQ160">
        <f t="shared" si="79"/>
        <v>0</v>
      </c>
      <c r="AR160">
        <f t="shared" si="80"/>
        <v>0</v>
      </c>
      <c r="AS160">
        <f t="shared" si="81"/>
        <v>0</v>
      </c>
      <c r="AT160">
        <f t="shared" si="82"/>
        <v>0</v>
      </c>
      <c r="AU160">
        <f t="shared" si="83"/>
        <v>1</v>
      </c>
    </row>
    <row r="161" spans="1:47" x14ac:dyDescent="0.2">
      <c r="A161" t="s">
        <v>190</v>
      </c>
      <c r="B161">
        <v>2021</v>
      </c>
      <c r="C161">
        <v>2015</v>
      </c>
      <c r="D161" t="s">
        <v>264</v>
      </c>
      <c r="E161">
        <v>1</v>
      </c>
      <c r="F161">
        <v>0</v>
      </c>
      <c r="G161">
        <v>0</v>
      </c>
      <c r="H161">
        <v>592</v>
      </c>
      <c r="I161">
        <v>6</v>
      </c>
      <c r="J161">
        <f t="shared" si="56"/>
        <v>1.0135135135135136</v>
      </c>
      <c r="K161">
        <v>319</v>
      </c>
      <c r="L161">
        <v>267</v>
      </c>
      <c r="M161">
        <v>410</v>
      </c>
      <c r="N161" t="s">
        <v>56</v>
      </c>
      <c r="O161">
        <f t="shared" si="57"/>
        <v>0</v>
      </c>
      <c r="P161">
        <f t="shared" si="58"/>
        <v>1</v>
      </c>
      <c r="Q161">
        <f t="shared" si="59"/>
        <v>0</v>
      </c>
      <c r="R161">
        <f t="shared" si="60"/>
        <v>0</v>
      </c>
      <c r="S161">
        <f t="shared" si="61"/>
        <v>0</v>
      </c>
      <c r="T161">
        <f t="shared" si="62"/>
        <v>0</v>
      </c>
      <c r="U161">
        <f t="shared" si="63"/>
        <v>0</v>
      </c>
      <c r="V161">
        <f t="shared" si="64"/>
        <v>0</v>
      </c>
      <c r="W161" t="str">
        <f>VLOOKUP(A161,[2]!Table2[[NCT Number]:[Intervention type]],11,FALSE)</f>
        <v>immunotherapy</v>
      </c>
      <c r="X161">
        <f t="shared" si="65"/>
        <v>1</v>
      </c>
      <c r="Y161">
        <f t="shared" si="66"/>
        <v>0</v>
      </c>
      <c r="Z161">
        <f t="shared" si="67"/>
        <v>0</v>
      </c>
      <c r="AA161">
        <f t="shared" si="68"/>
        <v>0</v>
      </c>
      <c r="AB161">
        <f t="shared" si="69"/>
        <v>0</v>
      </c>
      <c r="AC161">
        <f t="shared" si="70"/>
        <v>0</v>
      </c>
      <c r="AD161">
        <f t="shared" si="71"/>
        <v>0</v>
      </c>
      <c r="AE161">
        <f t="shared" si="72"/>
        <v>0</v>
      </c>
      <c r="AF161">
        <f>IF(ISNUMBER(SEARCH("endocrine", W161)), 1, 0)</f>
        <v>0</v>
      </c>
      <c r="AG161" t="s">
        <v>15</v>
      </c>
      <c r="AH161" t="s">
        <v>10</v>
      </c>
      <c r="AI161" t="s">
        <v>263</v>
      </c>
      <c r="AJ161">
        <f t="shared" si="73"/>
        <v>0</v>
      </c>
      <c r="AK161">
        <f t="shared" si="74"/>
        <v>0</v>
      </c>
      <c r="AL161">
        <f t="shared" si="75"/>
        <v>0</v>
      </c>
      <c r="AM161">
        <f t="shared" si="76"/>
        <v>0</v>
      </c>
      <c r="AN161">
        <f t="shared" si="77"/>
        <v>1</v>
      </c>
      <c r="AO161">
        <f t="shared" si="78"/>
        <v>0</v>
      </c>
      <c r="AP161" t="s">
        <v>86</v>
      </c>
      <c r="AQ161">
        <f t="shared" si="79"/>
        <v>0</v>
      </c>
      <c r="AR161">
        <f t="shared" si="80"/>
        <v>0</v>
      </c>
      <c r="AS161">
        <f t="shared" si="81"/>
        <v>0</v>
      </c>
      <c r="AT161">
        <f t="shared" si="82"/>
        <v>1</v>
      </c>
      <c r="AU161">
        <f t="shared" si="83"/>
        <v>0</v>
      </c>
    </row>
    <row r="162" spans="1:47" x14ac:dyDescent="0.2">
      <c r="A162" t="s">
        <v>191</v>
      </c>
      <c r="B162">
        <v>2023</v>
      </c>
      <c r="C162">
        <v>2015</v>
      </c>
      <c r="D162" t="s">
        <v>264</v>
      </c>
      <c r="E162">
        <v>1</v>
      </c>
      <c r="F162">
        <v>0</v>
      </c>
      <c r="G162">
        <v>0</v>
      </c>
      <c r="H162">
        <v>595</v>
      </c>
      <c r="I162">
        <v>9</v>
      </c>
      <c r="J162">
        <f t="shared" si="56"/>
        <v>1.5126050420168067</v>
      </c>
      <c r="K162">
        <v>405</v>
      </c>
      <c r="L162">
        <v>181</v>
      </c>
      <c r="M162">
        <v>398</v>
      </c>
      <c r="N162" t="s">
        <v>18</v>
      </c>
      <c r="O162">
        <f t="shared" si="57"/>
        <v>0</v>
      </c>
      <c r="P162">
        <f t="shared" si="58"/>
        <v>0</v>
      </c>
      <c r="Q162">
        <f t="shared" si="59"/>
        <v>0</v>
      </c>
      <c r="R162">
        <f t="shared" si="60"/>
        <v>0</v>
      </c>
      <c r="S162">
        <f t="shared" si="61"/>
        <v>0</v>
      </c>
      <c r="T162">
        <f t="shared" si="62"/>
        <v>0</v>
      </c>
      <c r="U162">
        <f t="shared" si="63"/>
        <v>1</v>
      </c>
      <c r="V162">
        <f t="shared" si="64"/>
        <v>0</v>
      </c>
      <c r="W162" t="str">
        <f>VLOOKUP(A162,[2]!Table2[[NCT Number]:[Intervention type]],11,FALSE)</f>
        <v>immunotherapy+chemo</v>
      </c>
      <c r="X162">
        <f t="shared" si="65"/>
        <v>1</v>
      </c>
      <c r="Y162">
        <f t="shared" si="66"/>
        <v>0</v>
      </c>
      <c r="Z162">
        <f t="shared" si="67"/>
        <v>0</v>
      </c>
      <c r="AA162">
        <f t="shared" si="68"/>
        <v>0</v>
      </c>
      <c r="AB162">
        <f t="shared" si="69"/>
        <v>0</v>
      </c>
      <c r="AC162">
        <f t="shared" si="70"/>
        <v>0</v>
      </c>
      <c r="AD162">
        <f t="shared" si="71"/>
        <v>0</v>
      </c>
      <c r="AE162">
        <f t="shared" si="72"/>
        <v>1</v>
      </c>
      <c r="AF162">
        <f>IF(ISNUMBER(SEARCH("endocrine", W162)), 1, 0)</f>
        <v>0</v>
      </c>
      <c r="AG162" t="s">
        <v>9</v>
      </c>
      <c r="AH162" t="s">
        <v>10</v>
      </c>
      <c r="AI162" t="s">
        <v>11</v>
      </c>
      <c r="AJ162">
        <f t="shared" si="73"/>
        <v>0</v>
      </c>
      <c r="AK162">
        <f t="shared" si="74"/>
        <v>1</v>
      </c>
      <c r="AL162">
        <f t="shared" si="75"/>
        <v>0</v>
      </c>
      <c r="AM162">
        <f t="shared" si="76"/>
        <v>0</v>
      </c>
      <c r="AN162">
        <f t="shared" si="77"/>
        <v>0</v>
      </c>
      <c r="AO162">
        <f t="shared" si="78"/>
        <v>0</v>
      </c>
      <c r="AP162" t="s">
        <v>12</v>
      </c>
      <c r="AQ162">
        <f t="shared" si="79"/>
        <v>1</v>
      </c>
      <c r="AR162">
        <f t="shared" si="80"/>
        <v>0</v>
      </c>
      <c r="AS162">
        <f t="shared" si="81"/>
        <v>0</v>
      </c>
      <c r="AT162">
        <f t="shared" si="82"/>
        <v>0</v>
      </c>
      <c r="AU162">
        <f t="shared" si="83"/>
        <v>0</v>
      </c>
    </row>
    <row r="163" spans="1:47" x14ac:dyDescent="0.2">
      <c r="A163" t="s">
        <v>193</v>
      </c>
      <c r="B163">
        <v>2021</v>
      </c>
      <c r="C163">
        <v>2014</v>
      </c>
      <c r="D163" t="s">
        <v>264</v>
      </c>
      <c r="E163">
        <v>1</v>
      </c>
      <c r="F163">
        <v>0</v>
      </c>
      <c r="G163">
        <v>0</v>
      </c>
      <c r="H163">
        <v>595</v>
      </c>
      <c r="I163">
        <v>22</v>
      </c>
      <c r="J163">
        <f t="shared" si="56"/>
        <v>3.6974789915966388</v>
      </c>
      <c r="K163">
        <v>462</v>
      </c>
      <c r="L163">
        <v>111</v>
      </c>
      <c r="M163">
        <v>413</v>
      </c>
      <c r="N163" t="s">
        <v>18</v>
      </c>
      <c r="O163">
        <f t="shared" si="57"/>
        <v>0</v>
      </c>
      <c r="P163">
        <f t="shared" si="58"/>
        <v>0</v>
      </c>
      <c r="Q163">
        <f t="shared" si="59"/>
        <v>0</v>
      </c>
      <c r="R163">
        <f t="shared" si="60"/>
        <v>0</v>
      </c>
      <c r="S163">
        <f t="shared" si="61"/>
        <v>0</v>
      </c>
      <c r="T163">
        <f t="shared" si="62"/>
        <v>0</v>
      </c>
      <c r="U163">
        <f t="shared" si="63"/>
        <v>1</v>
      </c>
      <c r="V163">
        <f t="shared" si="64"/>
        <v>0</v>
      </c>
      <c r="W163" t="str">
        <f>VLOOKUP(A163,[2]!Table2[[NCT Number]:[Intervention type]],11,FALSE)</f>
        <v>Targeted therapy+chemo</v>
      </c>
      <c r="X163">
        <f t="shared" si="65"/>
        <v>0</v>
      </c>
      <c r="Y163">
        <f t="shared" si="66"/>
        <v>1</v>
      </c>
      <c r="Z163">
        <f t="shared" si="67"/>
        <v>0</v>
      </c>
      <c r="AA163">
        <f t="shared" si="68"/>
        <v>0</v>
      </c>
      <c r="AB163">
        <f t="shared" si="69"/>
        <v>0</v>
      </c>
      <c r="AC163">
        <f t="shared" si="70"/>
        <v>0</v>
      </c>
      <c r="AD163">
        <f t="shared" si="71"/>
        <v>1</v>
      </c>
      <c r="AE163">
        <f t="shared" si="72"/>
        <v>0</v>
      </c>
      <c r="AF163">
        <f>IF(ISNUMBER(SEARCH("endocrine", W163)), 1, 0)</f>
        <v>0</v>
      </c>
      <c r="AG163" t="s">
        <v>9</v>
      </c>
      <c r="AH163" t="s">
        <v>10</v>
      </c>
      <c r="AI163" t="s">
        <v>11</v>
      </c>
      <c r="AJ163">
        <f t="shared" si="73"/>
        <v>0</v>
      </c>
      <c r="AK163">
        <f t="shared" si="74"/>
        <v>1</v>
      </c>
      <c r="AL163">
        <f t="shared" si="75"/>
        <v>0</v>
      </c>
      <c r="AM163">
        <f t="shared" si="76"/>
        <v>0</v>
      </c>
      <c r="AN163">
        <f t="shared" si="77"/>
        <v>0</v>
      </c>
      <c r="AO163">
        <f t="shared" si="78"/>
        <v>0</v>
      </c>
      <c r="AP163" t="s">
        <v>12</v>
      </c>
      <c r="AQ163">
        <f t="shared" si="79"/>
        <v>1</v>
      </c>
      <c r="AR163">
        <f t="shared" si="80"/>
        <v>0</v>
      </c>
      <c r="AS163">
        <f t="shared" si="81"/>
        <v>0</v>
      </c>
      <c r="AT163">
        <f t="shared" si="82"/>
        <v>0</v>
      </c>
      <c r="AU163">
        <f t="shared" si="83"/>
        <v>0</v>
      </c>
    </row>
    <row r="164" spans="1:47" x14ac:dyDescent="0.2">
      <c r="A164" t="s">
        <v>194</v>
      </c>
      <c r="B164">
        <v>2023</v>
      </c>
      <c r="C164">
        <v>2016</v>
      </c>
      <c r="D164" t="s">
        <v>265</v>
      </c>
      <c r="E164">
        <v>0</v>
      </c>
      <c r="F164">
        <v>1</v>
      </c>
      <c r="G164">
        <v>0</v>
      </c>
      <c r="H164">
        <v>605</v>
      </c>
      <c r="I164">
        <v>0</v>
      </c>
      <c r="J164">
        <f t="shared" si="56"/>
        <v>0</v>
      </c>
      <c r="K164">
        <v>516</v>
      </c>
      <c r="L164">
        <v>89</v>
      </c>
      <c r="M164">
        <v>467</v>
      </c>
      <c r="N164" t="s">
        <v>18</v>
      </c>
      <c r="O164">
        <f t="shared" si="57"/>
        <v>0</v>
      </c>
      <c r="P164">
        <f t="shared" si="58"/>
        <v>0</v>
      </c>
      <c r="Q164">
        <f t="shared" si="59"/>
        <v>0</v>
      </c>
      <c r="R164">
        <f t="shared" si="60"/>
        <v>0</v>
      </c>
      <c r="S164">
        <f t="shared" si="61"/>
        <v>0</v>
      </c>
      <c r="T164">
        <f t="shared" si="62"/>
        <v>0</v>
      </c>
      <c r="U164">
        <f t="shared" si="63"/>
        <v>1</v>
      </c>
      <c r="V164">
        <f t="shared" si="64"/>
        <v>0</v>
      </c>
      <c r="W164" t="str">
        <f>VLOOKUP(A164,[2]!Table2[[NCT Number]:[Intervention type]],11,FALSE)</f>
        <v>immunotherapy</v>
      </c>
      <c r="X164">
        <f t="shared" si="65"/>
        <v>1</v>
      </c>
      <c r="Y164">
        <f t="shared" si="66"/>
        <v>0</v>
      </c>
      <c r="Z164">
        <f t="shared" si="67"/>
        <v>0</v>
      </c>
      <c r="AA164">
        <f t="shared" si="68"/>
        <v>0</v>
      </c>
      <c r="AB164">
        <f t="shared" si="69"/>
        <v>0</v>
      </c>
      <c r="AC164">
        <f t="shared" si="70"/>
        <v>0</v>
      </c>
      <c r="AD164">
        <f t="shared" si="71"/>
        <v>0</v>
      </c>
      <c r="AE164">
        <f t="shared" si="72"/>
        <v>0</v>
      </c>
      <c r="AF164">
        <f>IF(ISNUMBER(SEARCH("endocrine", W164)), 1, 0)</f>
        <v>0</v>
      </c>
      <c r="AG164" t="s">
        <v>9</v>
      </c>
      <c r="AH164" t="s">
        <v>10</v>
      </c>
      <c r="AI164" t="s">
        <v>263</v>
      </c>
      <c r="AJ164">
        <f t="shared" si="73"/>
        <v>0</v>
      </c>
      <c r="AK164">
        <f t="shared" si="74"/>
        <v>0</v>
      </c>
      <c r="AL164">
        <f t="shared" si="75"/>
        <v>0</v>
      </c>
      <c r="AM164">
        <f t="shared" si="76"/>
        <v>0</v>
      </c>
      <c r="AN164">
        <f t="shared" si="77"/>
        <v>1</v>
      </c>
      <c r="AO164">
        <f t="shared" si="78"/>
        <v>0</v>
      </c>
      <c r="AP164" t="s">
        <v>12</v>
      </c>
      <c r="AQ164">
        <f t="shared" si="79"/>
        <v>1</v>
      </c>
      <c r="AR164">
        <f t="shared" si="80"/>
        <v>0</v>
      </c>
      <c r="AS164">
        <f t="shared" si="81"/>
        <v>0</v>
      </c>
      <c r="AT164">
        <f t="shared" si="82"/>
        <v>0</v>
      </c>
      <c r="AU164">
        <f t="shared" si="83"/>
        <v>0</v>
      </c>
    </row>
    <row r="165" spans="1:47" x14ac:dyDescent="0.2">
      <c r="A165" t="s">
        <v>195</v>
      </c>
      <c r="B165">
        <v>2022</v>
      </c>
      <c r="C165">
        <v>2017</v>
      </c>
      <c r="D165" t="s">
        <v>265</v>
      </c>
      <c r="E165">
        <v>0</v>
      </c>
      <c r="F165">
        <v>1</v>
      </c>
      <c r="G165">
        <v>0</v>
      </c>
      <c r="H165">
        <v>608</v>
      </c>
      <c r="I165">
        <v>21</v>
      </c>
      <c r="J165">
        <f t="shared" si="56"/>
        <v>3.4539473684210527</v>
      </c>
      <c r="K165">
        <v>385</v>
      </c>
      <c r="L165">
        <v>26</v>
      </c>
      <c r="M165">
        <v>0</v>
      </c>
      <c r="N165" t="s">
        <v>44</v>
      </c>
      <c r="O165">
        <f t="shared" si="57"/>
        <v>0</v>
      </c>
      <c r="P165">
        <f t="shared" si="58"/>
        <v>1</v>
      </c>
      <c r="Q165">
        <f t="shared" si="59"/>
        <v>0</v>
      </c>
      <c r="R165">
        <f t="shared" si="60"/>
        <v>1</v>
      </c>
      <c r="S165">
        <f t="shared" si="61"/>
        <v>0</v>
      </c>
      <c r="T165">
        <f t="shared" si="62"/>
        <v>0</v>
      </c>
      <c r="U165">
        <f t="shared" si="63"/>
        <v>0</v>
      </c>
      <c r="V165">
        <f t="shared" si="64"/>
        <v>0</v>
      </c>
      <c r="W165" t="str">
        <f>VLOOKUP(A165,[2]!Table2[[NCT Number]:[Intervention type]],11,FALSE)</f>
        <v>immunotherapy</v>
      </c>
      <c r="X165">
        <f t="shared" si="65"/>
        <v>1</v>
      </c>
      <c r="Y165">
        <f t="shared" si="66"/>
        <v>0</v>
      </c>
      <c r="Z165">
        <f t="shared" si="67"/>
        <v>0</v>
      </c>
      <c r="AA165">
        <f t="shared" si="68"/>
        <v>0</v>
      </c>
      <c r="AB165">
        <f t="shared" si="69"/>
        <v>0</v>
      </c>
      <c r="AC165">
        <f t="shared" si="70"/>
        <v>0</v>
      </c>
      <c r="AD165">
        <f t="shared" si="71"/>
        <v>0</v>
      </c>
      <c r="AE165">
        <f t="shared" si="72"/>
        <v>0</v>
      </c>
      <c r="AF165">
        <f>IF(ISNUMBER(SEARCH("endocrine", W165)), 1, 0)</f>
        <v>0</v>
      </c>
      <c r="AG165" t="s">
        <v>15</v>
      </c>
      <c r="AH165" t="s">
        <v>10</v>
      </c>
      <c r="AI165" t="s">
        <v>263</v>
      </c>
      <c r="AJ165">
        <f t="shared" si="73"/>
        <v>0</v>
      </c>
      <c r="AK165">
        <f t="shared" si="74"/>
        <v>0</v>
      </c>
      <c r="AL165">
        <f t="shared" si="75"/>
        <v>0</v>
      </c>
      <c r="AM165">
        <f t="shared" si="76"/>
        <v>0</v>
      </c>
      <c r="AN165">
        <f t="shared" si="77"/>
        <v>1</v>
      </c>
      <c r="AO165">
        <f t="shared" si="78"/>
        <v>0</v>
      </c>
      <c r="AP165" t="s">
        <v>12</v>
      </c>
      <c r="AQ165">
        <f t="shared" si="79"/>
        <v>1</v>
      </c>
      <c r="AR165">
        <f t="shared" si="80"/>
        <v>0</v>
      </c>
      <c r="AS165">
        <f t="shared" si="81"/>
        <v>0</v>
      </c>
      <c r="AT165">
        <f t="shared" si="82"/>
        <v>0</v>
      </c>
      <c r="AU165">
        <f t="shared" si="83"/>
        <v>0</v>
      </c>
    </row>
    <row r="166" spans="1:47" x14ac:dyDescent="0.2">
      <c r="A166" t="s">
        <v>196</v>
      </c>
      <c r="B166">
        <v>2021</v>
      </c>
      <c r="C166">
        <v>2016</v>
      </c>
      <c r="D166" t="s">
        <v>265</v>
      </c>
      <c r="E166">
        <v>0</v>
      </c>
      <c r="F166">
        <v>1</v>
      </c>
      <c r="G166">
        <v>0</v>
      </c>
      <c r="H166">
        <v>613</v>
      </c>
      <c r="I166">
        <v>2</v>
      </c>
      <c r="J166">
        <f t="shared" si="56"/>
        <v>0.32626427406199021</v>
      </c>
      <c r="K166">
        <v>531</v>
      </c>
      <c r="L166">
        <v>80</v>
      </c>
      <c r="M166">
        <v>349</v>
      </c>
      <c r="N166" t="s">
        <v>18</v>
      </c>
      <c r="O166">
        <f t="shared" si="57"/>
        <v>0</v>
      </c>
      <c r="P166">
        <f t="shared" si="58"/>
        <v>0</v>
      </c>
      <c r="Q166">
        <f t="shared" si="59"/>
        <v>0</v>
      </c>
      <c r="R166">
        <f t="shared" si="60"/>
        <v>0</v>
      </c>
      <c r="S166">
        <f t="shared" si="61"/>
        <v>0</v>
      </c>
      <c r="T166">
        <f t="shared" si="62"/>
        <v>0</v>
      </c>
      <c r="U166">
        <f t="shared" si="63"/>
        <v>1</v>
      </c>
      <c r="V166">
        <f t="shared" si="64"/>
        <v>0</v>
      </c>
      <c r="W166" t="str">
        <f>VLOOKUP(A166,[2]!Table2[[NCT Number]:[Intervention type]],11,FALSE)</f>
        <v>chemotherapy</v>
      </c>
      <c r="X166">
        <f t="shared" si="65"/>
        <v>0</v>
      </c>
      <c r="Y166">
        <f t="shared" si="66"/>
        <v>0</v>
      </c>
      <c r="Z166">
        <f t="shared" si="67"/>
        <v>1</v>
      </c>
      <c r="AA166">
        <f t="shared" si="68"/>
        <v>0</v>
      </c>
      <c r="AB166">
        <f t="shared" si="69"/>
        <v>0</v>
      </c>
      <c r="AC166">
        <f t="shared" si="70"/>
        <v>0</v>
      </c>
      <c r="AD166">
        <f t="shared" si="71"/>
        <v>0</v>
      </c>
      <c r="AE166">
        <f t="shared" si="72"/>
        <v>0</v>
      </c>
      <c r="AF166">
        <f>IF(ISNUMBER(SEARCH("endocrine", W166)), 1, 0)</f>
        <v>0</v>
      </c>
      <c r="AG166" t="s">
        <v>9</v>
      </c>
      <c r="AH166" t="s">
        <v>10</v>
      </c>
      <c r="AI166" t="s">
        <v>11</v>
      </c>
      <c r="AJ166">
        <f t="shared" si="73"/>
        <v>0</v>
      </c>
      <c r="AK166">
        <f t="shared" si="74"/>
        <v>1</v>
      </c>
      <c r="AL166">
        <f t="shared" si="75"/>
        <v>0</v>
      </c>
      <c r="AM166">
        <f t="shared" si="76"/>
        <v>0</v>
      </c>
      <c r="AN166">
        <f t="shared" si="77"/>
        <v>0</v>
      </c>
      <c r="AO166">
        <f t="shared" si="78"/>
        <v>0</v>
      </c>
      <c r="AP166" t="s">
        <v>12</v>
      </c>
      <c r="AQ166">
        <f t="shared" si="79"/>
        <v>1</v>
      </c>
      <c r="AR166">
        <f t="shared" si="80"/>
        <v>0</v>
      </c>
      <c r="AS166">
        <f t="shared" si="81"/>
        <v>0</v>
      </c>
      <c r="AT166">
        <f t="shared" si="82"/>
        <v>0</v>
      </c>
      <c r="AU166">
        <f t="shared" si="83"/>
        <v>0</v>
      </c>
    </row>
    <row r="167" spans="1:47" x14ac:dyDescent="0.2">
      <c r="A167" t="s">
        <v>197</v>
      </c>
      <c r="B167">
        <v>2023</v>
      </c>
      <c r="C167">
        <v>2016</v>
      </c>
      <c r="D167" t="s">
        <v>265</v>
      </c>
      <c r="E167">
        <v>0</v>
      </c>
      <c r="F167">
        <v>1</v>
      </c>
      <c r="G167">
        <v>0</v>
      </c>
      <c r="H167">
        <v>616</v>
      </c>
      <c r="I167">
        <v>14</v>
      </c>
      <c r="J167">
        <f t="shared" si="56"/>
        <v>2.2727272727272729</v>
      </c>
      <c r="K167">
        <v>581</v>
      </c>
      <c r="L167">
        <v>21</v>
      </c>
      <c r="M167">
        <v>363</v>
      </c>
      <c r="N167" t="s">
        <v>18</v>
      </c>
      <c r="O167">
        <f t="shared" si="57"/>
        <v>0</v>
      </c>
      <c r="P167">
        <f t="shared" si="58"/>
        <v>0</v>
      </c>
      <c r="Q167">
        <f t="shared" si="59"/>
        <v>0</v>
      </c>
      <c r="R167">
        <f t="shared" si="60"/>
        <v>0</v>
      </c>
      <c r="S167">
        <f t="shared" si="61"/>
        <v>0</v>
      </c>
      <c r="T167">
        <f t="shared" si="62"/>
        <v>0</v>
      </c>
      <c r="U167">
        <f t="shared" si="63"/>
        <v>1</v>
      </c>
      <c r="V167">
        <f t="shared" si="64"/>
        <v>0</v>
      </c>
      <c r="W167" t="str">
        <f>VLOOKUP(A167,[2]!Table2[[NCT Number]:[Intervention type]],11,FALSE)</f>
        <v>immunotherapy+chemo</v>
      </c>
      <c r="X167">
        <f t="shared" si="65"/>
        <v>1</v>
      </c>
      <c r="Y167">
        <f t="shared" si="66"/>
        <v>0</v>
      </c>
      <c r="Z167">
        <f t="shared" si="67"/>
        <v>0</v>
      </c>
      <c r="AA167">
        <f t="shared" si="68"/>
        <v>0</v>
      </c>
      <c r="AB167">
        <f t="shared" si="69"/>
        <v>0</v>
      </c>
      <c r="AC167">
        <f t="shared" si="70"/>
        <v>0</v>
      </c>
      <c r="AD167">
        <f t="shared" si="71"/>
        <v>0</v>
      </c>
      <c r="AE167">
        <f t="shared" si="72"/>
        <v>1</v>
      </c>
      <c r="AF167">
        <f>IF(ISNUMBER(SEARCH("endocrine", W167)), 1, 0)</f>
        <v>0</v>
      </c>
      <c r="AG167" t="s">
        <v>9</v>
      </c>
      <c r="AH167" t="s">
        <v>10</v>
      </c>
      <c r="AI167" t="s">
        <v>263</v>
      </c>
      <c r="AJ167">
        <f t="shared" si="73"/>
        <v>0</v>
      </c>
      <c r="AK167">
        <f t="shared" si="74"/>
        <v>0</v>
      </c>
      <c r="AL167">
        <f t="shared" si="75"/>
        <v>0</v>
      </c>
      <c r="AM167">
        <f t="shared" si="76"/>
        <v>0</v>
      </c>
      <c r="AN167">
        <f t="shared" si="77"/>
        <v>1</v>
      </c>
      <c r="AO167">
        <f t="shared" si="78"/>
        <v>0</v>
      </c>
      <c r="AP167" t="s">
        <v>12</v>
      </c>
      <c r="AQ167">
        <f t="shared" si="79"/>
        <v>1</v>
      </c>
      <c r="AR167">
        <f t="shared" si="80"/>
        <v>0</v>
      </c>
      <c r="AS167">
        <f t="shared" si="81"/>
        <v>0</v>
      </c>
      <c r="AT167">
        <f t="shared" si="82"/>
        <v>0</v>
      </c>
      <c r="AU167">
        <f t="shared" si="83"/>
        <v>0</v>
      </c>
    </row>
    <row r="168" spans="1:47" x14ac:dyDescent="0.2">
      <c r="A168" t="s">
        <v>198</v>
      </c>
      <c r="B168">
        <v>2020</v>
      </c>
      <c r="C168">
        <v>2015</v>
      </c>
      <c r="D168" t="s">
        <v>264</v>
      </c>
      <c r="E168">
        <v>1</v>
      </c>
      <c r="F168">
        <v>0</v>
      </c>
      <c r="G168">
        <v>0</v>
      </c>
      <c r="H168">
        <v>622</v>
      </c>
      <c r="I168">
        <v>17</v>
      </c>
      <c r="J168">
        <f t="shared" si="56"/>
        <v>2.733118971061093</v>
      </c>
      <c r="K168">
        <v>363</v>
      </c>
      <c r="L168">
        <v>242</v>
      </c>
      <c r="M168">
        <v>2</v>
      </c>
      <c r="N168" t="s">
        <v>46</v>
      </c>
      <c r="O168">
        <f t="shared" si="57"/>
        <v>1</v>
      </c>
      <c r="P168">
        <f t="shared" si="58"/>
        <v>0</v>
      </c>
      <c r="Q168">
        <f t="shared" si="59"/>
        <v>0</v>
      </c>
      <c r="R168">
        <f t="shared" si="60"/>
        <v>0</v>
      </c>
      <c r="S168">
        <f t="shared" si="61"/>
        <v>0</v>
      </c>
      <c r="T168">
        <f t="shared" si="62"/>
        <v>0</v>
      </c>
      <c r="U168">
        <f t="shared" si="63"/>
        <v>0</v>
      </c>
      <c r="V168">
        <f t="shared" si="64"/>
        <v>0</v>
      </c>
      <c r="W168" t="str">
        <f>VLOOKUP(A168,[2]!Table2[[NCT Number]:[Intervention type]],11,FALSE)</f>
        <v>immunotherapy</v>
      </c>
      <c r="X168">
        <f t="shared" si="65"/>
        <v>1</v>
      </c>
      <c r="Y168">
        <f t="shared" si="66"/>
        <v>0</v>
      </c>
      <c r="Z168">
        <f t="shared" si="67"/>
        <v>0</v>
      </c>
      <c r="AA168">
        <f t="shared" si="68"/>
        <v>0</v>
      </c>
      <c r="AB168">
        <f t="shared" si="69"/>
        <v>0</v>
      </c>
      <c r="AC168">
        <f t="shared" si="70"/>
        <v>0</v>
      </c>
      <c r="AD168">
        <f t="shared" si="71"/>
        <v>0</v>
      </c>
      <c r="AE168">
        <f t="shared" si="72"/>
        <v>0</v>
      </c>
      <c r="AF168">
        <f>IF(ISNUMBER(SEARCH("endocrine", W168)), 1, 0)</f>
        <v>0</v>
      </c>
      <c r="AG168" t="s">
        <v>15</v>
      </c>
      <c r="AH168" t="s">
        <v>10</v>
      </c>
      <c r="AI168" t="s">
        <v>263</v>
      </c>
      <c r="AJ168">
        <f t="shared" si="73"/>
        <v>0</v>
      </c>
      <c r="AK168">
        <f t="shared" si="74"/>
        <v>0</v>
      </c>
      <c r="AL168">
        <f t="shared" si="75"/>
        <v>0</v>
      </c>
      <c r="AM168">
        <f t="shared" si="76"/>
        <v>0</v>
      </c>
      <c r="AN168">
        <f t="shared" si="77"/>
        <v>1</v>
      </c>
      <c r="AO168">
        <f t="shared" si="78"/>
        <v>0</v>
      </c>
      <c r="AP168" t="s">
        <v>12</v>
      </c>
      <c r="AQ168">
        <f t="shared" si="79"/>
        <v>1</v>
      </c>
      <c r="AR168">
        <f t="shared" si="80"/>
        <v>0</v>
      </c>
      <c r="AS168">
        <f t="shared" si="81"/>
        <v>0</v>
      </c>
      <c r="AT168">
        <f t="shared" si="82"/>
        <v>0</v>
      </c>
      <c r="AU168">
        <f t="shared" si="83"/>
        <v>0</v>
      </c>
    </row>
    <row r="169" spans="1:47" x14ac:dyDescent="0.2">
      <c r="A169" t="s">
        <v>199</v>
      </c>
      <c r="B169">
        <v>2022</v>
      </c>
      <c r="C169">
        <v>2015</v>
      </c>
      <c r="D169" t="s">
        <v>264</v>
      </c>
      <c r="E169">
        <v>1</v>
      </c>
      <c r="F169">
        <v>0</v>
      </c>
      <c r="G169">
        <v>0</v>
      </c>
      <c r="H169">
        <v>624</v>
      </c>
      <c r="I169">
        <v>36</v>
      </c>
      <c r="J169">
        <f t="shared" si="56"/>
        <v>5.7692307692307692</v>
      </c>
      <c r="K169">
        <v>489</v>
      </c>
      <c r="L169">
        <v>99</v>
      </c>
      <c r="M169">
        <v>4</v>
      </c>
      <c r="N169" t="s">
        <v>46</v>
      </c>
      <c r="O169">
        <f t="shared" si="57"/>
        <v>1</v>
      </c>
      <c r="P169">
        <f t="shared" si="58"/>
        <v>0</v>
      </c>
      <c r="Q169">
        <f t="shared" si="59"/>
        <v>0</v>
      </c>
      <c r="R169">
        <f t="shared" si="60"/>
        <v>0</v>
      </c>
      <c r="S169">
        <f t="shared" si="61"/>
        <v>0</v>
      </c>
      <c r="T169">
        <f t="shared" si="62"/>
        <v>0</v>
      </c>
      <c r="U169">
        <f t="shared" si="63"/>
        <v>0</v>
      </c>
      <c r="V169">
        <f t="shared" si="64"/>
        <v>0</v>
      </c>
      <c r="W169" t="str">
        <f>VLOOKUP(A169,[2]!Table2[[NCT Number]:[Intervention type]],11,FALSE)</f>
        <v>Targeted therapy+chemo</v>
      </c>
      <c r="X169">
        <f t="shared" si="65"/>
        <v>0</v>
      </c>
      <c r="Y169">
        <f t="shared" si="66"/>
        <v>1</v>
      </c>
      <c r="Z169">
        <f t="shared" si="67"/>
        <v>0</v>
      </c>
      <c r="AA169">
        <f t="shared" si="68"/>
        <v>0</v>
      </c>
      <c r="AB169">
        <f t="shared" si="69"/>
        <v>0</v>
      </c>
      <c r="AC169">
        <f t="shared" si="70"/>
        <v>0</v>
      </c>
      <c r="AD169">
        <f t="shared" si="71"/>
        <v>1</v>
      </c>
      <c r="AE169">
        <f t="shared" si="72"/>
        <v>0</v>
      </c>
      <c r="AF169">
        <f>IF(ISNUMBER(SEARCH("endocrine", W169)), 1, 0)</f>
        <v>0</v>
      </c>
      <c r="AG169" t="s">
        <v>9</v>
      </c>
      <c r="AH169" t="s">
        <v>10</v>
      </c>
      <c r="AI169" t="s">
        <v>263</v>
      </c>
      <c r="AJ169">
        <f t="shared" si="73"/>
        <v>0</v>
      </c>
      <c r="AK169">
        <f t="shared" si="74"/>
        <v>0</v>
      </c>
      <c r="AL169">
        <f t="shared" si="75"/>
        <v>0</v>
      </c>
      <c r="AM169">
        <f t="shared" si="76"/>
        <v>0</v>
      </c>
      <c r="AN169">
        <f t="shared" si="77"/>
        <v>1</v>
      </c>
      <c r="AO169">
        <f t="shared" si="78"/>
        <v>0</v>
      </c>
      <c r="AP169" t="s">
        <v>86</v>
      </c>
      <c r="AQ169">
        <f t="shared" si="79"/>
        <v>0</v>
      </c>
      <c r="AR169">
        <f t="shared" si="80"/>
        <v>0</v>
      </c>
      <c r="AS169">
        <f t="shared" si="81"/>
        <v>0</v>
      </c>
      <c r="AT169">
        <f t="shared" si="82"/>
        <v>1</v>
      </c>
      <c r="AU169">
        <f t="shared" si="83"/>
        <v>0</v>
      </c>
    </row>
    <row r="170" spans="1:47" x14ac:dyDescent="0.2">
      <c r="A170" t="s">
        <v>200</v>
      </c>
      <c r="B170">
        <v>2021</v>
      </c>
      <c r="C170">
        <v>2018</v>
      </c>
      <c r="D170" t="s">
        <v>265</v>
      </c>
      <c r="E170">
        <v>0</v>
      </c>
      <c r="F170">
        <v>1</v>
      </c>
      <c r="G170">
        <v>0</v>
      </c>
      <c r="H170">
        <v>627</v>
      </c>
      <c r="I170">
        <v>2</v>
      </c>
      <c r="J170">
        <f t="shared" si="56"/>
        <v>0.31897926634768742</v>
      </c>
      <c r="K170">
        <v>499</v>
      </c>
      <c r="L170">
        <v>126</v>
      </c>
      <c r="M170">
        <v>383</v>
      </c>
      <c r="N170" t="s">
        <v>18</v>
      </c>
      <c r="O170">
        <f t="shared" si="57"/>
        <v>0</v>
      </c>
      <c r="P170">
        <f t="shared" si="58"/>
        <v>0</v>
      </c>
      <c r="Q170">
        <f t="shared" si="59"/>
        <v>0</v>
      </c>
      <c r="R170">
        <f t="shared" si="60"/>
        <v>0</v>
      </c>
      <c r="S170">
        <f t="shared" si="61"/>
        <v>0</v>
      </c>
      <c r="T170">
        <f t="shared" si="62"/>
        <v>0</v>
      </c>
      <c r="U170">
        <f t="shared" si="63"/>
        <v>1</v>
      </c>
      <c r="V170">
        <f t="shared" si="64"/>
        <v>0</v>
      </c>
      <c r="W170" t="str">
        <f>VLOOKUP(A170,[2]!Table2[[NCT Number]:[Intervention type]],11,FALSE)</f>
        <v>Targeted therapy+chemo</v>
      </c>
      <c r="X170">
        <f t="shared" si="65"/>
        <v>0</v>
      </c>
      <c r="Y170">
        <f t="shared" si="66"/>
        <v>1</v>
      </c>
      <c r="Z170">
        <f t="shared" si="67"/>
        <v>0</v>
      </c>
      <c r="AA170">
        <f t="shared" si="68"/>
        <v>0</v>
      </c>
      <c r="AB170">
        <f t="shared" si="69"/>
        <v>0</v>
      </c>
      <c r="AC170">
        <f t="shared" si="70"/>
        <v>0</v>
      </c>
      <c r="AD170">
        <f t="shared" si="71"/>
        <v>1</v>
      </c>
      <c r="AE170">
        <f t="shared" si="72"/>
        <v>0</v>
      </c>
      <c r="AF170">
        <f>IF(ISNUMBER(SEARCH("endocrine", W170)), 1, 0)</f>
        <v>0</v>
      </c>
      <c r="AG170" t="s">
        <v>9</v>
      </c>
      <c r="AH170" t="s">
        <v>10</v>
      </c>
      <c r="AI170" t="s">
        <v>263</v>
      </c>
      <c r="AJ170">
        <f t="shared" si="73"/>
        <v>0</v>
      </c>
      <c r="AK170">
        <f t="shared" si="74"/>
        <v>0</v>
      </c>
      <c r="AL170">
        <f t="shared" si="75"/>
        <v>0</v>
      </c>
      <c r="AM170">
        <f t="shared" si="76"/>
        <v>0</v>
      </c>
      <c r="AN170">
        <f t="shared" si="77"/>
        <v>1</v>
      </c>
      <c r="AO170">
        <f t="shared" si="78"/>
        <v>0</v>
      </c>
      <c r="AP170" t="s">
        <v>12</v>
      </c>
      <c r="AQ170">
        <f t="shared" si="79"/>
        <v>1</v>
      </c>
      <c r="AR170">
        <f t="shared" si="80"/>
        <v>0</v>
      </c>
      <c r="AS170">
        <f t="shared" si="81"/>
        <v>0</v>
      </c>
      <c r="AT170">
        <f t="shared" si="82"/>
        <v>0</v>
      </c>
      <c r="AU170">
        <f t="shared" si="83"/>
        <v>0</v>
      </c>
    </row>
    <row r="171" spans="1:47" x14ac:dyDescent="0.2">
      <c r="A171" t="s">
        <v>201</v>
      </c>
      <c r="B171">
        <v>2023</v>
      </c>
      <c r="C171">
        <v>2015</v>
      </c>
      <c r="D171" t="s">
        <v>264</v>
      </c>
      <c r="E171">
        <v>1</v>
      </c>
      <c r="F171">
        <v>0</v>
      </c>
      <c r="G171">
        <v>0</v>
      </c>
      <c r="H171">
        <v>628</v>
      </c>
      <c r="I171">
        <v>6</v>
      </c>
      <c r="J171">
        <f t="shared" si="56"/>
        <v>0.95541401273885351</v>
      </c>
      <c r="K171">
        <v>351</v>
      </c>
      <c r="L171">
        <v>271</v>
      </c>
      <c r="M171">
        <v>544</v>
      </c>
      <c r="N171" t="s">
        <v>56</v>
      </c>
      <c r="O171">
        <f t="shared" si="57"/>
        <v>0</v>
      </c>
      <c r="P171">
        <f t="shared" si="58"/>
        <v>1</v>
      </c>
      <c r="Q171">
        <f t="shared" si="59"/>
        <v>0</v>
      </c>
      <c r="R171">
        <f t="shared" si="60"/>
        <v>0</v>
      </c>
      <c r="S171">
        <f t="shared" si="61"/>
        <v>0</v>
      </c>
      <c r="T171">
        <f t="shared" si="62"/>
        <v>0</v>
      </c>
      <c r="U171">
        <f t="shared" si="63"/>
        <v>0</v>
      </c>
      <c r="V171">
        <f t="shared" si="64"/>
        <v>0</v>
      </c>
      <c r="W171" t="str">
        <f>VLOOKUP(A171,[2]!Table2[[NCT Number]:[Intervention type]],11,FALSE)</f>
        <v>immunotherapy</v>
      </c>
      <c r="X171">
        <f t="shared" si="65"/>
        <v>1</v>
      </c>
      <c r="Y171">
        <f t="shared" si="66"/>
        <v>0</v>
      </c>
      <c r="Z171">
        <f t="shared" si="67"/>
        <v>0</v>
      </c>
      <c r="AA171">
        <f t="shared" si="68"/>
        <v>0</v>
      </c>
      <c r="AB171">
        <f t="shared" si="69"/>
        <v>0</v>
      </c>
      <c r="AC171">
        <f t="shared" si="70"/>
        <v>0</v>
      </c>
      <c r="AD171">
        <f t="shared" si="71"/>
        <v>0</v>
      </c>
      <c r="AE171">
        <f t="shared" si="72"/>
        <v>0</v>
      </c>
      <c r="AF171">
        <f>IF(ISNUMBER(SEARCH("endocrine", W171)), 1, 0)</f>
        <v>0</v>
      </c>
      <c r="AG171" t="s">
        <v>15</v>
      </c>
      <c r="AH171" t="s">
        <v>10</v>
      </c>
      <c r="AI171" t="s">
        <v>263</v>
      </c>
      <c r="AJ171">
        <f t="shared" si="73"/>
        <v>0</v>
      </c>
      <c r="AK171">
        <f t="shared" si="74"/>
        <v>0</v>
      </c>
      <c r="AL171">
        <f t="shared" si="75"/>
        <v>0</v>
      </c>
      <c r="AM171">
        <f t="shared" si="76"/>
        <v>0</v>
      </c>
      <c r="AN171">
        <f t="shared" si="77"/>
        <v>1</v>
      </c>
      <c r="AO171">
        <f t="shared" si="78"/>
        <v>0</v>
      </c>
      <c r="AP171" t="s">
        <v>12</v>
      </c>
      <c r="AQ171">
        <f t="shared" si="79"/>
        <v>1</v>
      </c>
      <c r="AR171">
        <f t="shared" si="80"/>
        <v>0</v>
      </c>
      <c r="AS171">
        <f t="shared" si="81"/>
        <v>0</v>
      </c>
      <c r="AT171">
        <f t="shared" si="82"/>
        <v>0</v>
      </c>
      <c r="AU171">
        <f t="shared" si="83"/>
        <v>0</v>
      </c>
    </row>
    <row r="172" spans="1:47" x14ac:dyDescent="0.2">
      <c r="A172" t="s">
        <v>202</v>
      </c>
      <c r="B172">
        <v>2017</v>
      </c>
      <c r="C172">
        <v>2017</v>
      </c>
      <c r="D172" t="s">
        <v>265</v>
      </c>
      <c r="E172">
        <v>0</v>
      </c>
      <c r="F172">
        <v>1</v>
      </c>
      <c r="G172">
        <v>0</v>
      </c>
      <c r="H172">
        <v>642</v>
      </c>
      <c r="I172">
        <v>7</v>
      </c>
      <c r="J172">
        <f t="shared" si="56"/>
        <v>1.0903426791277258</v>
      </c>
      <c r="K172">
        <v>615</v>
      </c>
      <c r="L172">
        <v>22</v>
      </c>
      <c r="M172">
        <v>384</v>
      </c>
      <c r="N172" t="s">
        <v>18</v>
      </c>
      <c r="O172">
        <f t="shared" si="57"/>
        <v>0</v>
      </c>
      <c r="P172">
        <f t="shared" si="58"/>
        <v>0</v>
      </c>
      <c r="Q172">
        <f t="shared" si="59"/>
        <v>0</v>
      </c>
      <c r="R172">
        <f t="shared" si="60"/>
        <v>0</v>
      </c>
      <c r="S172">
        <f t="shared" si="61"/>
        <v>0</v>
      </c>
      <c r="T172">
        <f t="shared" si="62"/>
        <v>0</v>
      </c>
      <c r="U172">
        <f t="shared" si="63"/>
        <v>1</v>
      </c>
      <c r="V172">
        <f t="shared" si="64"/>
        <v>0</v>
      </c>
      <c r="W172" t="str">
        <f>VLOOKUP(A172,[2]!Table2[[NCT Number]:[Intervention type]],11,FALSE)</f>
        <v>Targeted therapy</v>
      </c>
      <c r="X172">
        <f t="shared" si="65"/>
        <v>0</v>
      </c>
      <c r="Y172">
        <f t="shared" si="66"/>
        <v>1</v>
      </c>
      <c r="Z172">
        <f t="shared" si="67"/>
        <v>0</v>
      </c>
      <c r="AA172">
        <f t="shared" si="68"/>
        <v>0</v>
      </c>
      <c r="AB172">
        <f t="shared" si="69"/>
        <v>0</v>
      </c>
      <c r="AC172">
        <f t="shared" si="70"/>
        <v>0</v>
      </c>
      <c r="AD172">
        <f t="shared" si="71"/>
        <v>0</v>
      </c>
      <c r="AE172">
        <f t="shared" si="72"/>
        <v>0</v>
      </c>
      <c r="AF172">
        <f>IF(ISNUMBER(SEARCH("endocrine", W172)), 1, 0)</f>
        <v>0</v>
      </c>
      <c r="AG172" t="s">
        <v>15</v>
      </c>
      <c r="AH172" t="s">
        <v>10</v>
      </c>
      <c r="AI172" t="s">
        <v>8</v>
      </c>
      <c r="AJ172">
        <f t="shared" si="73"/>
        <v>0</v>
      </c>
      <c r="AK172">
        <f t="shared" si="74"/>
        <v>0</v>
      </c>
      <c r="AL172">
        <f t="shared" si="75"/>
        <v>0</v>
      </c>
      <c r="AM172">
        <f t="shared" si="76"/>
        <v>0</v>
      </c>
      <c r="AN172">
        <f t="shared" si="77"/>
        <v>0</v>
      </c>
      <c r="AO172">
        <f t="shared" si="78"/>
        <v>1</v>
      </c>
      <c r="AP172" t="s">
        <v>8</v>
      </c>
      <c r="AQ172">
        <f t="shared" si="79"/>
        <v>0</v>
      </c>
      <c r="AR172">
        <f t="shared" si="80"/>
        <v>0</v>
      </c>
      <c r="AS172">
        <f t="shared" si="81"/>
        <v>0</v>
      </c>
      <c r="AT172">
        <f t="shared" si="82"/>
        <v>0</v>
      </c>
      <c r="AU172">
        <f t="shared" si="83"/>
        <v>1</v>
      </c>
    </row>
    <row r="173" spans="1:47" x14ac:dyDescent="0.2">
      <c r="A173" t="s">
        <v>203</v>
      </c>
      <c r="B173">
        <v>2021</v>
      </c>
      <c r="C173">
        <v>2015</v>
      </c>
      <c r="D173" t="s">
        <v>264</v>
      </c>
      <c r="E173">
        <v>1</v>
      </c>
      <c r="F173">
        <v>0</v>
      </c>
      <c r="G173">
        <v>0</v>
      </c>
      <c r="H173">
        <v>645</v>
      </c>
      <c r="I173">
        <v>5</v>
      </c>
      <c r="J173">
        <f t="shared" si="56"/>
        <v>0.77519379844961245</v>
      </c>
      <c r="K173">
        <v>520</v>
      </c>
      <c r="L173">
        <v>120</v>
      </c>
      <c r="M173">
        <v>429</v>
      </c>
      <c r="N173" t="s">
        <v>56</v>
      </c>
      <c r="O173">
        <f t="shared" si="57"/>
        <v>0</v>
      </c>
      <c r="P173">
        <f t="shared" si="58"/>
        <v>1</v>
      </c>
      <c r="Q173">
        <f t="shared" si="59"/>
        <v>0</v>
      </c>
      <c r="R173">
        <f t="shared" si="60"/>
        <v>0</v>
      </c>
      <c r="S173">
        <f t="shared" si="61"/>
        <v>0</v>
      </c>
      <c r="T173">
        <f t="shared" si="62"/>
        <v>0</v>
      </c>
      <c r="U173">
        <f t="shared" si="63"/>
        <v>0</v>
      </c>
      <c r="V173">
        <f t="shared" si="64"/>
        <v>0</v>
      </c>
      <c r="W173" t="str">
        <f>VLOOKUP(A173,[2]!Table2[[NCT Number]:[Intervention type]],11,FALSE)</f>
        <v>Targeted therapy+chemo</v>
      </c>
      <c r="X173">
        <f t="shared" si="65"/>
        <v>0</v>
      </c>
      <c r="Y173">
        <f t="shared" si="66"/>
        <v>1</v>
      </c>
      <c r="Z173">
        <f t="shared" si="67"/>
        <v>0</v>
      </c>
      <c r="AA173">
        <f t="shared" si="68"/>
        <v>0</v>
      </c>
      <c r="AB173">
        <f t="shared" si="69"/>
        <v>0</v>
      </c>
      <c r="AC173">
        <f t="shared" si="70"/>
        <v>0</v>
      </c>
      <c r="AD173">
        <f t="shared" si="71"/>
        <v>1</v>
      </c>
      <c r="AE173">
        <f t="shared" si="72"/>
        <v>0</v>
      </c>
      <c r="AF173">
        <f>IF(ISNUMBER(SEARCH("endocrine", W173)), 1, 0)</f>
        <v>0</v>
      </c>
      <c r="AG173" t="s">
        <v>9</v>
      </c>
      <c r="AH173" t="s">
        <v>10</v>
      </c>
      <c r="AI173" t="s">
        <v>8</v>
      </c>
      <c r="AJ173">
        <f t="shared" si="73"/>
        <v>0</v>
      </c>
      <c r="AK173">
        <f t="shared" si="74"/>
        <v>0</v>
      </c>
      <c r="AL173">
        <f t="shared" si="75"/>
        <v>0</v>
      </c>
      <c r="AM173">
        <f t="shared" si="76"/>
        <v>0</v>
      </c>
      <c r="AN173">
        <f t="shared" si="77"/>
        <v>0</v>
      </c>
      <c r="AO173">
        <f t="shared" si="78"/>
        <v>1</v>
      </c>
      <c r="AP173" t="s">
        <v>8</v>
      </c>
      <c r="AQ173">
        <f t="shared" si="79"/>
        <v>0</v>
      </c>
      <c r="AR173">
        <f t="shared" si="80"/>
        <v>0</v>
      </c>
      <c r="AS173">
        <f t="shared" si="81"/>
        <v>0</v>
      </c>
      <c r="AT173">
        <f t="shared" si="82"/>
        <v>0</v>
      </c>
      <c r="AU173">
        <f t="shared" si="83"/>
        <v>1</v>
      </c>
    </row>
    <row r="174" spans="1:47" x14ac:dyDescent="0.2">
      <c r="A174" t="s">
        <v>204</v>
      </c>
      <c r="B174">
        <v>2023</v>
      </c>
      <c r="C174">
        <v>2017</v>
      </c>
      <c r="D174" t="s">
        <v>265</v>
      </c>
      <c r="E174">
        <v>0</v>
      </c>
      <c r="F174">
        <v>1</v>
      </c>
      <c r="G174">
        <v>0</v>
      </c>
      <c r="H174">
        <v>651</v>
      </c>
      <c r="I174">
        <v>31</v>
      </c>
      <c r="J174">
        <f t="shared" si="56"/>
        <v>4.7619047619047619</v>
      </c>
      <c r="K174">
        <v>374</v>
      </c>
      <c r="L174">
        <v>246</v>
      </c>
      <c r="M174">
        <v>1</v>
      </c>
      <c r="N174" t="s">
        <v>46</v>
      </c>
      <c r="O174">
        <f t="shared" si="57"/>
        <v>1</v>
      </c>
      <c r="P174">
        <f t="shared" si="58"/>
        <v>0</v>
      </c>
      <c r="Q174">
        <f t="shared" si="59"/>
        <v>0</v>
      </c>
      <c r="R174">
        <f t="shared" si="60"/>
        <v>0</v>
      </c>
      <c r="S174">
        <f t="shared" si="61"/>
        <v>0</v>
      </c>
      <c r="T174">
        <f t="shared" si="62"/>
        <v>0</v>
      </c>
      <c r="U174">
        <f t="shared" si="63"/>
        <v>0</v>
      </c>
      <c r="V174">
        <f t="shared" si="64"/>
        <v>0</v>
      </c>
      <c r="W174" t="str">
        <f>VLOOKUP(A174,[2]!Table2[[NCT Number]:[Intervention type]],11,FALSE)</f>
        <v>immunotherapy+chemo</v>
      </c>
      <c r="X174">
        <f t="shared" si="65"/>
        <v>1</v>
      </c>
      <c r="Y174">
        <f t="shared" si="66"/>
        <v>0</v>
      </c>
      <c r="Z174">
        <f t="shared" si="67"/>
        <v>0</v>
      </c>
      <c r="AA174">
        <f t="shared" si="68"/>
        <v>0</v>
      </c>
      <c r="AB174">
        <f t="shared" si="69"/>
        <v>0</v>
      </c>
      <c r="AC174">
        <f t="shared" si="70"/>
        <v>0</v>
      </c>
      <c r="AD174">
        <f t="shared" si="71"/>
        <v>0</v>
      </c>
      <c r="AE174">
        <f t="shared" si="72"/>
        <v>1</v>
      </c>
      <c r="AF174">
        <f>IF(ISNUMBER(SEARCH("endocrine", W174)), 1, 0)</f>
        <v>0</v>
      </c>
      <c r="AG174" t="s">
        <v>9</v>
      </c>
      <c r="AH174" t="s">
        <v>10</v>
      </c>
      <c r="AI174" t="s">
        <v>11</v>
      </c>
      <c r="AJ174">
        <f t="shared" si="73"/>
        <v>0</v>
      </c>
      <c r="AK174">
        <f t="shared" si="74"/>
        <v>1</v>
      </c>
      <c r="AL174">
        <f t="shared" si="75"/>
        <v>0</v>
      </c>
      <c r="AM174">
        <f t="shared" si="76"/>
        <v>0</v>
      </c>
      <c r="AN174">
        <f t="shared" si="77"/>
        <v>0</v>
      </c>
      <c r="AO174">
        <f t="shared" si="78"/>
        <v>0</v>
      </c>
      <c r="AP174" t="s">
        <v>12</v>
      </c>
      <c r="AQ174">
        <f t="shared" si="79"/>
        <v>1</v>
      </c>
      <c r="AR174">
        <f t="shared" si="80"/>
        <v>0</v>
      </c>
      <c r="AS174">
        <f t="shared" si="81"/>
        <v>0</v>
      </c>
      <c r="AT174">
        <f t="shared" si="82"/>
        <v>0</v>
      </c>
      <c r="AU174">
        <f t="shared" si="83"/>
        <v>0</v>
      </c>
    </row>
    <row r="175" spans="1:47" x14ac:dyDescent="0.2">
      <c r="A175" t="s">
        <v>205</v>
      </c>
      <c r="B175">
        <v>2021</v>
      </c>
      <c r="C175">
        <v>2017</v>
      </c>
      <c r="D175" t="s">
        <v>265</v>
      </c>
      <c r="E175">
        <v>0</v>
      </c>
      <c r="F175">
        <v>1</v>
      </c>
      <c r="G175">
        <v>0</v>
      </c>
      <c r="H175">
        <v>651</v>
      </c>
      <c r="I175">
        <v>2</v>
      </c>
      <c r="J175">
        <f t="shared" si="56"/>
        <v>0.30721966205837176</v>
      </c>
      <c r="K175">
        <v>343</v>
      </c>
      <c r="L175">
        <v>306</v>
      </c>
      <c r="M175">
        <v>457</v>
      </c>
      <c r="N175" t="s">
        <v>18</v>
      </c>
      <c r="O175">
        <f t="shared" si="57"/>
        <v>0</v>
      </c>
      <c r="P175">
        <f t="shared" si="58"/>
        <v>0</v>
      </c>
      <c r="Q175">
        <f t="shared" si="59"/>
        <v>0</v>
      </c>
      <c r="R175">
        <f t="shared" si="60"/>
        <v>0</v>
      </c>
      <c r="S175">
        <f t="shared" si="61"/>
        <v>0</v>
      </c>
      <c r="T175">
        <f t="shared" si="62"/>
        <v>0</v>
      </c>
      <c r="U175">
        <f t="shared" si="63"/>
        <v>1</v>
      </c>
      <c r="V175">
        <f t="shared" si="64"/>
        <v>0</v>
      </c>
      <c r="W175" t="str">
        <f>VLOOKUP(A175,[2]!Table2[[NCT Number]:[Intervention type]],11,FALSE)</f>
        <v>Targeted therapy</v>
      </c>
      <c r="X175">
        <f t="shared" si="65"/>
        <v>0</v>
      </c>
      <c r="Y175">
        <f t="shared" si="66"/>
        <v>1</v>
      </c>
      <c r="Z175">
        <f t="shared" si="67"/>
        <v>0</v>
      </c>
      <c r="AA175">
        <f t="shared" si="68"/>
        <v>0</v>
      </c>
      <c r="AB175">
        <f t="shared" si="69"/>
        <v>0</v>
      </c>
      <c r="AC175">
        <f t="shared" si="70"/>
        <v>0</v>
      </c>
      <c r="AD175">
        <f t="shared" si="71"/>
        <v>0</v>
      </c>
      <c r="AE175">
        <f t="shared" si="72"/>
        <v>0</v>
      </c>
      <c r="AF175">
        <f>IF(ISNUMBER(SEARCH("endocrine", W175)), 1, 0)</f>
        <v>0</v>
      </c>
      <c r="AG175" t="s">
        <v>15</v>
      </c>
      <c r="AH175" t="s">
        <v>10</v>
      </c>
      <c r="AI175" t="s">
        <v>263</v>
      </c>
      <c r="AJ175">
        <f t="shared" si="73"/>
        <v>0</v>
      </c>
      <c r="AK175">
        <f t="shared" si="74"/>
        <v>0</v>
      </c>
      <c r="AL175">
        <f t="shared" si="75"/>
        <v>0</v>
      </c>
      <c r="AM175">
        <f t="shared" si="76"/>
        <v>0</v>
      </c>
      <c r="AN175">
        <f t="shared" si="77"/>
        <v>1</v>
      </c>
      <c r="AO175">
        <f t="shared" si="78"/>
        <v>0</v>
      </c>
      <c r="AP175" t="s">
        <v>12</v>
      </c>
      <c r="AQ175">
        <f t="shared" si="79"/>
        <v>1</v>
      </c>
      <c r="AR175">
        <f t="shared" si="80"/>
        <v>0</v>
      </c>
      <c r="AS175">
        <f t="shared" si="81"/>
        <v>0</v>
      </c>
      <c r="AT175">
        <f t="shared" si="82"/>
        <v>0</v>
      </c>
      <c r="AU175">
        <f t="shared" si="83"/>
        <v>0</v>
      </c>
    </row>
    <row r="176" spans="1:47" x14ac:dyDescent="0.2">
      <c r="A176" t="s">
        <v>206</v>
      </c>
      <c r="B176">
        <v>2018</v>
      </c>
      <c r="C176">
        <v>2015</v>
      </c>
      <c r="D176" t="s">
        <v>264</v>
      </c>
      <c r="E176">
        <v>1</v>
      </c>
      <c r="F176">
        <v>0</v>
      </c>
      <c r="G176">
        <v>0</v>
      </c>
      <c r="H176">
        <v>663</v>
      </c>
      <c r="I176">
        <v>2</v>
      </c>
      <c r="J176">
        <f t="shared" si="56"/>
        <v>0.30165912518853694</v>
      </c>
      <c r="K176">
        <v>506</v>
      </c>
      <c r="L176">
        <v>155</v>
      </c>
      <c r="M176">
        <v>417</v>
      </c>
      <c r="N176" t="s">
        <v>18</v>
      </c>
      <c r="O176">
        <f t="shared" si="57"/>
        <v>0</v>
      </c>
      <c r="P176">
        <f t="shared" si="58"/>
        <v>0</v>
      </c>
      <c r="Q176">
        <f t="shared" si="59"/>
        <v>0</v>
      </c>
      <c r="R176">
        <f t="shared" si="60"/>
        <v>0</v>
      </c>
      <c r="S176">
        <f t="shared" si="61"/>
        <v>0</v>
      </c>
      <c r="T176">
        <f t="shared" si="62"/>
        <v>0</v>
      </c>
      <c r="U176">
        <f t="shared" si="63"/>
        <v>1</v>
      </c>
      <c r="V176">
        <f t="shared" si="64"/>
        <v>0</v>
      </c>
      <c r="W176" t="str">
        <f>VLOOKUP(A176,[2]!Table2[[NCT Number]:[Intervention type]],11,FALSE)</f>
        <v>Targeted therapy</v>
      </c>
      <c r="X176">
        <f t="shared" si="65"/>
        <v>0</v>
      </c>
      <c r="Y176">
        <f t="shared" si="66"/>
        <v>1</v>
      </c>
      <c r="Z176">
        <f t="shared" si="67"/>
        <v>0</v>
      </c>
      <c r="AA176">
        <f t="shared" si="68"/>
        <v>0</v>
      </c>
      <c r="AB176">
        <f t="shared" si="69"/>
        <v>0</v>
      </c>
      <c r="AC176">
        <f t="shared" si="70"/>
        <v>0</v>
      </c>
      <c r="AD176">
        <f t="shared" si="71"/>
        <v>0</v>
      </c>
      <c r="AE176">
        <f t="shared" si="72"/>
        <v>0</v>
      </c>
      <c r="AF176">
        <f>IF(ISNUMBER(SEARCH("endocrine", W176)), 1, 0)</f>
        <v>0</v>
      </c>
      <c r="AG176" t="s">
        <v>15</v>
      </c>
      <c r="AH176" t="s">
        <v>10</v>
      </c>
      <c r="AI176" t="s">
        <v>263</v>
      </c>
      <c r="AJ176">
        <f t="shared" si="73"/>
        <v>0</v>
      </c>
      <c r="AK176">
        <f t="shared" si="74"/>
        <v>0</v>
      </c>
      <c r="AL176">
        <f t="shared" si="75"/>
        <v>0</v>
      </c>
      <c r="AM176">
        <f t="shared" si="76"/>
        <v>0</v>
      </c>
      <c r="AN176">
        <f t="shared" si="77"/>
        <v>1</v>
      </c>
      <c r="AO176">
        <f t="shared" si="78"/>
        <v>0</v>
      </c>
      <c r="AP176" t="s">
        <v>12</v>
      </c>
      <c r="AQ176">
        <f t="shared" si="79"/>
        <v>1</v>
      </c>
      <c r="AR176">
        <f t="shared" si="80"/>
        <v>0</v>
      </c>
      <c r="AS176">
        <f t="shared" si="81"/>
        <v>0</v>
      </c>
      <c r="AT176">
        <f t="shared" si="82"/>
        <v>0</v>
      </c>
      <c r="AU176">
        <f t="shared" si="83"/>
        <v>0</v>
      </c>
    </row>
    <row r="177" spans="1:47" x14ac:dyDescent="0.2">
      <c r="A177" t="s">
        <v>207</v>
      </c>
      <c r="B177">
        <v>2023</v>
      </c>
      <c r="C177">
        <v>2013</v>
      </c>
      <c r="D177" t="s">
        <v>264</v>
      </c>
      <c r="E177">
        <v>1</v>
      </c>
      <c r="F177">
        <v>0</v>
      </c>
      <c r="G177">
        <v>0</v>
      </c>
      <c r="H177">
        <v>668</v>
      </c>
      <c r="I177" t="s">
        <v>8</v>
      </c>
      <c r="J177" t="s">
        <v>8</v>
      </c>
      <c r="K177" t="s">
        <v>8</v>
      </c>
      <c r="L177" t="s">
        <v>8</v>
      </c>
      <c r="M177">
        <v>0</v>
      </c>
      <c r="N177" t="s">
        <v>46</v>
      </c>
      <c r="O177">
        <f t="shared" si="57"/>
        <v>1</v>
      </c>
      <c r="P177">
        <f t="shared" si="58"/>
        <v>0</v>
      </c>
      <c r="Q177">
        <f t="shared" si="59"/>
        <v>0</v>
      </c>
      <c r="R177">
        <f t="shared" si="60"/>
        <v>0</v>
      </c>
      <c r="S177">
        <f t="shared" si="61"/>
        <v>0</v>
      </c>
      <c r="T177">
        <f t="shared" si="62"/>
        <v>0</v>
      </c>
      <c r="U177">
        <f t="shared" si="63"/>
        <v>0</v>
      </c>
      <c r="V177">
        <f t="shared" si="64"/>
        <v>0</v>
      </c>
      <c r="W177" t="str">
        <f>VLOOKUP(A177,[2]!Table2[[NCT Number]:[Intervention type]],11,FALSE)</f>
        <v>Targeted therapy+chemo</v>
      </c>
      <c r="X177">
        <f t="shared" si="65"/>
        <v>0</v>
      </c>
      <c r="Y177">
        <f t="shared" si="66"/>
        <v>1</v>
      </c>
      <c r="Z177">
        <f t="shared" si="67"/>
        <v>0</v>
      </c>
      <c r="AA177">
        <f t="shared" si="68"/>
        <v>0</v>
      </c>
      <c r="AB177">
        <f t="shared" si="69"/>
        <v>0</v>
      </c>
      <c r="AC177">
        <f t="shared" si="70"/>
        <v>0</v>
      </c>
      <c r="AD177">
        <f t="shared" si="71"/>
        <v>1</v>
      </c>
      <c r="AE177">
        <f t="shared" si="72"/>
        <v>0</v>
      </c>
      <c r="AF177">
        <f>IF(ISNUMBER(SEARCH("endocrine", W177)), 1, 0)</f>
        <v>0</v>
      </c>
      <c r="AG177" t="s">
        <v>9</v>
      </c>
      <c r="AH177" t="s">
        <v>10</v>
      </c>
      <c r="AI177" t="s">
        <v>8</v>
      </c>
      <c r="AJ177">
        <f t="shared" si="73"/>
        <v>0</v>
      </c>
      <c r="AK177">
        <f t="shared" si="74"/>
        <v>0</v>
      </c>
      <c r="AL177">
        <f t="shared" si="75"/>
        <v>0</v>
      </c>
      <c r="AM177">
        <f t="shared" si="76"/>
        <v>0</v>
      </c>
      <c r="AN177">
        <f t="shared" si="77"/>
        <v>0</v>
      </c>
      <c r="AO177">
        <f t="shared" si="78"/>
        <v>1</v>
      </c>
      <c r="AP177" t="s">
        <v>8</v>
      </c>
      <c r="AQ177">
        <f t="shared" si="79"/>
        <v>0</v>
      </c>
      <c r="AR177">
        <f t="shared" si="80"/>
        <v>0</v>
      </c>
      <c r="AS177">
        <f t="shared" si="81"/>
        <v>0</v>
      </c>
      <c r="AT177">
        <f t="shared" si="82"/>
        <v>0</v>
      </c>
      <c r="AU177">
        <f t="shared" si="83"/>
        <v>1</v>
      </c>
    </row>
    <row r="178" spans="1:47" x14ac:dyDescent="0.2">
      <c r="A178" t="s">
        <v>208</v>
      </c>
      <c r="B178">
        <v>2019</v>
      </c>
      <c r="C178">
        <v>2017</v>
      </c>
      <c r="D178" t="s">
        <v>265</v>
      </c>
      <c r="E178">
        <v>0</v>
      </c>
      <c r="F178">
        <v>1</v>
      </c>
      <c r="G178">
        <v>0</v>
      </c>
      <c r="H178">
        <v>671</v>
      </c>
      <c r="I178" t="s">
        <v>8</v>
      </c>
      <c r="J178" t="s">
        <v>8</v>
      </c>
      <c r="K178">
        <v>458</v>
      </c>
      <c r="L178">
        <v>213</v>
      </c>
      <c r="M178">
        <v>424</v>
      </c>
      <c r="N178" t="s">
        <v>18</v>
      </c>
      <c r="O178">
        <f t="shared" si="57"/>
        <v>0</v>
      </c>
      <c r="P178">
        <f t="shared" si="58"/>
        <v>0</v>
      </c>
      <c r="Q178">
        <f t="shared" si="59"/>
        <v>0</v>
      </c>
      <c r="R178">
        <f t="shared" si="60"/>
        <v>0</v>
      </c>
      <c r="S178">
        <f t="shared" si="61"/>
        <v>0</v>
      </c>
      <c r="T178">
        <f t="shared" si="62"/>
        <v>0</v>
      </c>
      <c r="U178">
        <f t="shared" si="63"/>
        <v>1</v>
      </c>
      <c r="V178">
        <f t="shared" si="64"/>
        <v>0</v>
      </c>
      <c r="W178" t="str">
        <f>VLOOKUP(A178,[2]!Table2[[NCT Number]:[Intervention type]],11,FALSE)</f>
        <v>Targeted therapy</v>
      </c>
      <c r="X178">
        <f t="shared" si="65"/>
        <v>0</v>
      </c>
      <c r="Y178">
        <f t="shared" si="66"/>
        <v>1</v>
      </c>
      <c r="Z178">
        <f t="shared" si="67"/>
        <v>0</v>
      </c>
      <c r="AA178">
        <f t="shared" si="68"/>
        <v>0</v>
      </c>
      <c r="AB178">
        <f t="shared" si="69"/>
        <v>0</v>
      </c>
      <c r="AC178">
        <f t="shared" si="70"/>
        <v>0</v>
      </c>
      <c r="AD178">
        <f t="shared" si="71"/>
        <v>0</v>
      </c>
      <c r="AE178">
        <f t="shared" si="72"/>
        <v>0</v>
      </c>
      <c r="AF178">
        <f>IF(ISNUMBER(SEARCH("endocrine", W178)), 1, 0)</f>
        <v>0</v>
      </c>
      <c r="AG178" t="s">
        <v>15</v>
      </c>
      <c r="AH178" t="s">
        <v>10</v>
      </c>
      <c r="AI178" t="s">
        <v>263</v>
      </c>
      <c r="AJ178">
        <f t="shared" si="73"/>
        <v>0</v>
      </c>
      <c r="AK178">
        <f t="shared" si="74"/>
        <v>0</v>
      </c>
      <c r="AL178">
        <f t="shared" si="75"/>
        <v>0</v>
      </c>
      <c r="AM178">
        <f t="shared" si="76"/>
        <v>0</v>
      </c>
      <c r="AN178">
        <f t="shared" si="77"/>
        <v>1</v>
      </c>
      <c r="AO178">
        <f t="shared" si="78"/>
        <v>0</v>
      </c>
      <c r="AP178" t="s">
        <v>12</v>
      </c>
      <c r="AQ178">
        <f t="shared" si="79"/>
        <v>1</v>
      </c>
      <c r="AR178">
        <f t="shared" si="80"/>
        <v>0</v>
      </c>
      <c r="AS178">
        <f t="shared" si="81"/>
        <v>0</v>
      </c>
      <c r="AT178">
        <f t="shared" si="82"/>
        <v>0</v>
      </c>
      <c r="AU178">
        <f t="shared" si="83"/>
        <v>0</v>
      </c>
    </row>
    <row r="179" spans="1:47" x14ac:dyDescent="0.2">
      <c r="A179" t="s">
        <v>209</v>
      </c>
      <c r="B179">
        <v>2023</v>
      </c>
      <c r="C179">
        <v>2014</v>
      </c>
      <c r="D179" t="s">
        <v>264</v>
      </c>
      <c r="E179">
        <v>1</v>
      </c>
      <c r="F179">
        <v>0</v>
      </c>
      <c r="G179">
        <v>0</v>
      </c>
      <c r="H179">
        <v>672</v>
      </c>
      <c r="I179">
        <v>19</v>
      </c>
      <c r="J179">
        <f t="shared" si="56"/>
        <v>2.8273809523809526</v>
      </c>
      <c r="K179">
        <v>388</v>
      </c>
      <c r="L179">
        <v>265</v>
      </c>
      <c r="M179">
        <v>0</v>
      </c>
      <c r="N179" t="s">
        <v>46</v>
      </c>
      <c r="O179">
        <f t="shared" si="57"/>
        <v>1</v>
      </c>
      <c r="P179">
        <f t="shared" si="58"/>
        <v>0</v>
      </c>
      <c r="Q179">
        <f t="shared" si="59"/>
        <v>0</v>
      </c>
      <c r="R179">
        <f t="shared" si="60"/>
        <v>0</v>
      </c>
      <c r="S179">
        <f t="shared" si="61"/>
        <v>0</v>
      </c>
      <c r="T179">
        <f t="shared" si="62"/>
        <v>0</v>
      </c>
      <c r="U179">
        <f t="shared" si="63"/>
        <v>0</v>
      </c>
      <c r="V179">
        <f t="shared" si="64"/>
        <v>0</v>
      </c>
      <c r="W179" t="str">
        <f>VLOOKUP(A179,[2]!Table2[[NCT Number]:[Intervention type]],11,FALSE)</f>
        <v>Targeted therapy</v>
      </c>
      <c r="X179">
        <f t="shared" si="65"/>
        <v>0</v>
      </c>
      <c r="Y179">
        <f t="shared" si="66"/>
        <v>1</v>
      </c>
      <c r="Z179">
        <f t="shared" si="67"/>
        <v>0</v>
      </c>
      <c r="AA179">
        <f t="shared" si="68"/>
        <v>0</v>
      </c>
      <c r="AB179">
        <f t="shared" si="69"/>
        <v>0</v>
      </c>
      <c r="AC179">
        <f t="shared" si="70"/>
        <v>0</v>
      </c>
      <c r="AD179">
        <f t="shared" si="71"/>
        <v>0</v>
      </c>
      <c r="AE179">
        <f t="shared" si="72"/>
        <v>0</v>
      </c>
      <c r="AF179">
        <f>IF(ISNUMBER(SEARCH("endocrine", W179)), 1, 0)</f>
        <v>0</v>
      </c>
      <c r="AG179" t="s">
        <v>15</v>
      </c>
      <c r="AH179" t="s">
        <v>10</v>
      </c>
      <c r="AI179" t="s">
        <v>42</v>
      </c>
      <c r="AJ179">
        <f t="shared" si="73"/>
        <v>0</v>
      </c>
      <c r="AK179">
        <f t="shared" si="74"/>
        <v>0</v>
      </c>
      <c r="AL179">
        <f t="shared" si="75"/>
        <v>1</v>
      </c>
      <c r="AM179">
        <f t="shared" si="76"/>
        <v>0</v>
      </c>
      <c r="AN179">
        <f t="shared" si="77"/>
        <v>0</v>
      </c>
      <c r="AO179">
        <f t="shared" si="78"/>
        <v>0</v>
      </c>
      <c r="AP179" t="s">
        <v>8</v>
      </c>
      <c r="AQ179">
        <f t="shared" si="79"/>
        <v>0</v>
      </c>
      <c r="AR179">
        <f t="shared" si="80"/>
        <v>0</v>
      </c>
      <c r="AS179">
        <f t="shared" si="81"/>
        <v>0</v>
      </c>
      <c r="AT179">
        <f t="shared" si="82"/>
        <v>0</v>
      </c>
      <c r="AU179">
        <f t="shared" si="83"/>
        <v>1</v>
      </c>
    </row>
    <row r="180" spans="1:47" x14ac:dyDescent="0.2">
      <c r="A180" t="s">
        <v>210</v>
      </c>
      <c r="B180">
        <v>2021</v>
      </c>
      <c r="C180">
        <v>2014</v>
      </c>
      <c r="D180" t="s">
        <v>264</v>
      </c>
      <c r="E180">
        <v>1</v>
      </c>
      <c r="F180">
        <v>0</v>
      </c>
      <c r="G180">
        <v>0</v>
      </c>
      <c r="H180">
        <v>681</v>
      </c>
      <c r="I180">
        <v>0</v>
      </c>
      <c r="J180">
        <f t="shared" si="56"/>
        <v>0</v>
      </c>
      <c r="K180">
        <v>0</v>
      </c>
      <c r="L180">
        <v>681</v>
      </c>
      <c r="M180">
        <v>469</v>
      </c>
      <c r="N180" t="s">
        <v>56</v>
      </c>
      <c r="O180">
        <f t="shared" si="57"/>
        <v>0</v>
      </c>
      <c r="P180">
        <f t="shared" si="58"/>
        <v>1</v>
      </c>
      <c r="Q180">
        <f t="shared" si="59"/>
        <v>0</v>
      </c>
      <c r="R180">
        <f t="shared" si="60"/>
        <v>0</v>
      </c>
      <c r="S180">
        <f t="shared" si="61"/>
        <v>0</v>
      </c>
      <c r="T180">
        <f t="shared" si="62"/>
        <v>0</v>
      </c>
      <c r="U180">
        <f t="shared" si="63"/>
        <v>0</v>
      </c>
      <c r="V180">
        <f t="shared" si="64"/>
        <v>0</v>
      </c>
      <c r="W180" t="str">
        <f>VLOOKUP(A180,[2]!Table2[[NCT Number]:[Intervention type]],11,FALSE)</f>
        <v>chemotherapy</v>
      </c>
      <c r="X180">
        <f t="shared" si="65"/>
        <v>0</v>
      </c>
      <c r="Y180">
        <f t="shared" si="66"/>
        <v>0</v>
      </c>
      <c r="Z180">
        <f t="shared" si="67"/>
        <v>1</v>
      </c>
      <c r="AA180">
        <f t="shared" si="68"/>
        <v>0</v>
      </c>
      <c r="AB180">
        <f t="shared" si="69"/>
        <v>0</v>
      </c>
      <c r="AC180">
        <f t="shared" si="70"/>
        <v>0</v>
      </c>
      <c r="AD180">
        <f t="shared" si="71"/>
        <v>0</v>
      </c>
      <c r="AE180">
        <f t="shared" si="72"/>
        <v>0</v>
      </c>
      <c r="AF180">
        <f>IF(ISNUMBER(SEARCH("endocrine", W180)), 1, 0)</f>
        <v>0</v>
      </c>
      <c r="AG180" t="s">
        <v>9</v>
      </c>
      <c r="AH180" t="s">
        <v>10</v>
      </c>
      <c r="AI180" t="s">
        <v>11</v>
      </c>
      <c r="AJ180">
        <f t="shared" si="73"/>
        <v>0</v>
      </c>
      <c r="AK180">
        <f t="shared" si="74"/>
        <v>1</v>
      </c>
      <c r="AL180">
        <f t="shared" si="75"/>
        <v>0</v>
      </c>
      <c r="AM180">
        <f t="shared" si="76"/>
        <v>0</v>
      </c>
      <c r="AN180">
        <f t="shared" si="77"/>
        <v>0</v>
      </c>
      <c r="AO180">
        <f t="shared" si="78"/>
        <v>0</v>
      </c>
      <c r="AP180" t="s">
        <v>12</v>
      </c>
      <c r="AQ180">
        <f t="shared" si="79"/>
        <v>1</v>
      </c>
      <c r="AR180">
        <f t="shared" si="80"/>
        <v>0</v>
      </c>
      <c r="AS180">
        <f t="shared" si="81"/>
        <v>0</v>
      </c>
      <c r="AT180">
        <f t="shared" si="82"/>
        <v>0</v>
      </c>
      <c r="AU180">
        <f t="shared" si="83"/>
        <v>0</v>
      </c>
    </row>
    <row r="181" spans="1:47" x14ac:dyDescent="0.2">
      <c r="A181" t="s">
        <v>211</v>
      </c>
      <c r="B181">
        <v>2022</v>
      </c>
      <c r="C181">
        <v>2015</v>
      </c>
      <c r="D181" t="s">
        <v>264</v>
      </c>
      <c r="E181">
        <v>1</v>
      </c>
      <c r="F181">
        <v>0</v>
      </c>
      <c r="G181">
        <v>0</v>
      </c>
      <c r="H181">
        <v>691</v>
      </c>
      <c r="I181">
        <v>9</v>
      </c>
      <c r="J181">
        <f t="shared" si="56"/>
        <v>1.3024602026049203</v>
      </c>
      <c r="K181">
        <v>572</v>
      </c>
      <c r="L181">
        <v>110</v>
      </c>
      <c r="M181">
        <v>425</v>
      </c>
      <c r="N181" t="s">
        <v>35</v>
      </c>
      <c r="O181">
        <f t="shared" si="57"/>
        <v>0</v>
      </c>
      <c r="P181">
        <f t="shared" si="58"/>
        <v>0</v>
      </c>
      <c r="Q181">
        <f t="shared" si="59"/>
        <v>0</v>
      </c>
      <c r="R181">
        <f t="shared" si="60"/>
        <v>0</v>
      </c>
      <c r="S181">
        <f t="shared" si="61"/>
        <v>1</v>
      </c>
      <c r="T181">
        <f t="shared" si="62"/>
        <v>0</v>
      </c>
      <c r="U181">
        <f t="shared" si="63"/>
        <v>0</v>
      </c>
      <c r="V181">
        <f t="shared" si="64"/>
        <v>0</v>
      </c>
      <c r="W181" t="str">
        <f>VLOOKUP(A181,[2]!Table2[[NCT Number]:[Intervention type]],11,FALSE)</f>
        <v>Targeted therapy+chemo</v>
      </c>
      <c r="X181">
        <f t="shared" si="65"/>
        <v>0</v>
      </c>
      <c r="Y181">
        <f t="shared" si="66"/>
        <v>1</v>
      </c>
      <c r="Z181">
        <f t="shared" si="67"/>
        <v>0</v>
      </c>
      <c r="AA181">
        <f t="shared" si="68"/>
        <v>0</v>
      </c>
      <c r="AB181">
        <f t="shared" si="69"/>
        <v>0</v>
      </c>
      <c r="AC181">
        <f t="shared" si="70"/>
        <v>0</v>
      </c>
      <c r="AD181">
        <f t="shared" si="71"/>
        <v>1</v>
      </c>
      <c r="AE181">
        <f t="shared" si="72"/>
        <v>0</v>
      </c>
      <c r="AF181">
        <f>IF(ISNUMBER(SEARCH("endocrine", W181)), 1, 0)</f>
        <v>0</v>
      </c>
      <c r="AG181" t="s">
        <v>9</v>
      </c>
      <c r="AH181" t="s">
        <v>10</v>
      </c>
      <c r="AI181" t="s">
        <v>11</v>
      </c>
      <c r="AJ181">
        <f t="shared" si="73"/>
        <v>0</v>
      </c>
      <c r="AK181">
        <f t="shared" si="74"/>
        <v>1</v>
      </c>
      <c r="AL181">
        <f t="shared" si="75"/>
        <v>0</v>
      </c>
      <c r="AM181">
        <f t="shared" si="76"/>
        <v>0</v>
      </c>
      <c r="AN181">
        <f t="shared" si="77"/>
        <v>0</v>
      </c>
      <c r="AO181">
        <f t="shared" si="78"/>
        <v>0</v>
      </c>
      <c r="AP181" t="s">
        <v>12</v>
      </c>
      <c r="AQ181">
        <f t="shared" si="79"/>
        <v>1</v>
      </c>
      <c r="AR181">
        <f t="shared" si="80"/>
        <v>0</v>
      </c>
      <c r="AS181">
        <f t="shared" si="81"/>
        <v>0</v>
      </c>
      <c r="AT181">
        <f t="shared" si="82"/>
        <v>0</v>
      </c>
      <c r="AU181">
        <f t="shared" si="83"/>
        <v>0</v>
      </c>
    </row>
    <row r="182" spans="1:47" x14ac:dyDescent="0.2">
      <c r="A182" t="s">
        <v>212</v>
      </c>
      <c r="B182">
        <v>2023</v>
      </c>
      <c r="C182">
        <v>2018</v>
      </c>
      <c r="D182" t="s">
        <v>265</v>
      </c>
      <c r="E182">
        <v>0</v>
      </c>
      <c r="F182">
        <v>1</v>
      </c>
      <c r="G182">
        <v>0</v>
      </c>
      <c r="H182">
        <v>695</v>
      </c>
      <c r="I182">
        <v>10</v>
      </c>
      <c r="J182">
        <f t="shared" si="56"/>
        <v>1.4388489208633093</v>
      </c>
      <c r="K182">
        <v>175</v>
      </c>
      <c r="L182">
        <v>510</v>
      </c>
      <c r="M182">
        <v>579</v>
      </c>
      <c r="N182" t="s">
        <v>56</v>
      </c>
      <c r="O182">
        <f t="shared" si="57"/>
        <v>0</v>
      </c>
      <c r="P182">
        <f t="shared" si="58"/>
        <v>1</v>
      </c>
      <c r="Q182">
        <f t="shared" si="59"/>
        <v>0</v>
      </c>
      <c r="R182">
        <f t="shared" si="60"/>
        <v>0</v>
      </c>
      <c r="S182">
        <f t="shared" si="61"/>
        <v>0</v>
      </c>
      <c r="T182">
        <f t="shared" si="62"/>
        <v>0</v>
      </c>
      <c r="U182">
        <f t="shared" si="63"/>
        <v>0</v>
      </c>
      <c r="V182">
        <f t="shared" si="64"/>
        <v>0</v>
      </c>
      <c r="W182" t="str">
        <f>VLOOKUP(A182,[2]!Table2[[NCT Number]:[Intervention type]],11,FALSE)</f>
        <v>immunotherapy</v>
      </c>
      <c r="X182">
        <f t="shared" si="65"/>
        <v>1</v>
      </c>
      <c r="Y182">
        <f t="shared" si="66"/>
        <v>0</v>
      </c>
      <c r="Z182">
        <f t="shared" si="67"/>
        <v>0</v>
      </c>
      <c r="AA182">
        <f t="shared" si="68"/>
        <v>0</v>
      </c>
      <c r="AB182">
        <f t="shared" si="69"/>
        <v>0</v>
      </c>
      <c r="AC182">
        <f t="shared" si="70"/>
        <v>0</v>
      </c>
      <c r="AD182">
        <f t="shared" si="71"/>
        <v>0</v>
      </c>
      <c r="AE182">
        <f t="shared" si="72"/>
        <v>0</v>
      </c>
      <c r="AF182">
        <f>IF(ISNUMBER(SEARCH("endocrine", W182)), 1, 0)</f>
        <v>0</v>
      </c>
      <c r="AG182" t="s">
        <v>9</v>
      </c>
      <c r="AH182" t="s">
        <v>10</v>
      </c>
      <c r="AI182" t="s">
        <v>263</v>
      </c>
      <c r="AJ182">
        <f t="shared" si="73"/>
        <v>0</v>
      </c>
      <c r="AK182">
        <f t="shared" si="74"/>
        <v>0</v>
      </c>
      <c r="AL182">
        <f t="shared" si="75"/>
        <v>0</v>
      </c>
      <c r="AM182">
        <f t="shared" si="76"/>
        <v>0</v>
      </c>
      <c r="AN182">
        <f t="shared" si="77"/>
        <v>1</v>
      </c>
      <c r="AO182">
        <f t="shared" si="78"/>
        <v>0</v>
      </c>
      <c r="AP182" t="s">
        <v>12</v>
      </c>
      <c r="AQ182">
        <f t="shared" si="79"/>
        <v>1</v>
      </c>
      <c r="AR182">
        <f t="shared" si="80"/>
        <v>0</v>
      </c>
      <c r="AS182">
        <f t="shared" si="81"/>
        <v>0</v>
      </c>
      <c r="AT182">
        <f t="shared" si="82"/>
        <v>0</v>
      </c>
      <c r="AU182">
        <f t="shared" si="83"/>
        <v>0</v>
      </c>
    </row>
    <row r="183" spans="1:47" x14ac:dyDescent="0.2">
      <c r="A183" t="s">
        <v>213</v>
      </c>
      <c r="B183">
        <v>2023</v>
      </c>
      <c r="C183">
        <v>2016</v>
      </c>
      <c r="D183" t="s">
        <v>265</v>
      </c>
      <c r="E183">
        <v>0</v>
      </c>
      <c r="F183">
        <v>1</v>
      </c>
      <c r="G183">
        <v>0</v>
      </c>
      <c r="H183">
        <v>700</v>
      </c>
      <c r="I183">
        <v>2</v>
      </c>
      <c r="J183">
        <f t="shared" si="56"/>
        <v>0.2857142857142857</v>
      </c>
      <c r="K183">
        <v>470</v>
      </c>
      <c r="L183">
        <v>228</v>
      </c>
      <c r="M183">
        <v>541</v>
      </c>
      <c r="N183" t="s">
        <v>30</v>
      </c>
      <c r="O183">
        <f t="shared" si="57"/>
        <v>0</v>
      </c>
      <c r="P183">
        <f t="shared" si="58"/>
        <v>0</v>
      </c>
      <c r="Q183">
        <f t="shared" si="59"/>
        <v>1</v>
      </c>
      <c r="R183">
        <f t="shared" si="60"/>
        <v>0</v>
      </c>
      <c r="S183">
        <f t="shared" si="61"/>
        <v>0</v>
      </c>
      <c r="T183">
        <f t="shared" si="62"/>
        <v>0</v>
      </c>
      <c r="U183">
        <f t="shared" si="63"/>
        <v>0</v>
      </c>
      <c r="V183">
        <f t="shared" si="64"/>
        <v>0</v>
      </c>
      <c r="W183" t="str">
        <f>VLOOKUP(A183,[2]!Table2[[NCT Number]:[Intervention type]],11,FALSE)</f>
        <v>immunotherapy</v>
      </c>
      <c r="X183">
        <f t="shared" si="65"/>
        <v>1</v>
      </c>
      <c r="Y183">
        <f t="shared" si="66"/>
        <v>0</v>
      </c>
      <c r="Z183">
        <f t="shared" si="67"/>
        <v>0</v>
      </c>
      <c r="AA183">
        <f t="shared" si="68"/>
        <v>0</v>
      </c>
      <c r="AB183">
        <f t="shared" si="69"/>
        <v>0</v>
      </c>
      <c r="AC183">
        <f t="shared" si="70"/>
        <v>0</v>
      </c>
      <c r="AD183">
        <f t="shared" si="71"/>
        <v>0</v>
      </c>
      <c r="AE183">
        <f t="shared" si="72"/>
        <v>0</v>
      </c>
      <c r="AF183">
        <f>IF(ISNUMBER(SEARCH("endocrine", W183)), 1, 0)</f>
        <v>0</v>
      </c>
      <c r="AG183" t="s">
        <v>15</v>
      </c>
      <c r="AH183" t="s">
        <v>10</v>
      </c>
      <c r="AI183" t="s">
        <v>11</v>
      </c>
      <c r="AJ183">
        <f t="shared" si="73"/>
        <v>0</v>
      </c>
      <c r="AK183">
        <f t="shared" si="74"/>
        <v>1</v>
      </c>
      <c r="AL183">
        <f t="shared" si="75"/>
        <v>0</v>
      </c>
      <c r="AM183">
        <f t="shared" si="76"/>
        <v>0</v>
      </c>
      <c r="AN183">
        <f t="shared" si="77"/>
        <v>0</v>
      </c>
      <c r="AO183">
        <f t="shared" si="78"/>
        <v>0</v>
      </c>
      <c r="AP183" t="s">
        <v>12</v>
      </c>
      <c r="AQ183">
        <f t="shared" si="79"/>
        <v>1</v>
      </c>
      <c r="AR183">
        <f t="shared" si="80"/>
        <v>0</v>
      </c>
      <c r="AS183">
        <f t="shared" si="81"/>
        <v>0</v>
      </c>
      <c r="AT183">
        <f t="shared" si="82"/>
        <v>0</v>
      </c>
      <c r="AU183">
        <f t="shared" si="83"/>
        <v>0</v>
      </c>
    </row>
    <row r="184" spans="1:47" x14ac:dyDescent="0.2">
      <c r="A184" t="s">
        <v>214</v>
      </c>
      <c r="B184">
        <v>2022</v>
      </c>
      <c r="C184">
        <v>2016</v>
      </c>
      <c r="D184" t="s">
        <v>265</v>
      </c>
      <c r="E184">
        <v>0</v>
      </c>
      <c r="F184">
        <v>1</v>
      </c>
      <c r="G184">
        <v>0</v>
      </c>
      <c r="H184">
        <v>702</v>
      </c>
      <c r="I184">
        <v>3</v>
      </c>
      <c r="J184">
        <f t="shared" si="56"/>
        <v>0.42735042735042733</v>
      </c>
      <c r="K184">
        <v>579</v>
      </c>
      <c r="L184">
        <v>120</v>
      </c>
      <c r="M184">
        <v>329</v>
      </c>
      <c r="N184" t="s">
        <v>56</v>
      </c>
      <c r="O184">
        <f t="shared" si="57"/>
        <v>0</v>
      </c>
      <c r="P184">
        <f t="shared" si="58"/>
        <v>1</v>
      </c>
      <c r="Q184">
        <f t="shared" si="59"/>
        <v>0</v>
      </c>
      <c r="R184">
        <f t="shared" si="60"/>
        <v>0</v>
      </c>
      <c r="S184">
        <f t="shared" si="61"/>
        <v>0</v>
      </c>
      <c r="T184">
        <f t="shared" si="62"/>
        <v>0</v>
      </c>
      <c r="U184">
        <f t="shared" si="63"/>
        <v>0</v>
      </c>
      <c r="V184">
        <f t="shared" si="64"/>
        <v>0</v>
      </c>
      <c r="W184" t="str">
        <f>VLOOKUP(A184,[2]!Table2[[NCT Number]:[Intervention type]],11,FALSE)</f>
        <v>immunotherapy+targeted therapy</v>
      </c>
      <c r="X184">
        <f t="shared" si="65"/>
        <v>1</v>
      </c>
      <c r="Y184">
        <f t="shared" si="66"/>
        <v>1</v>
      </c>
      <c r="Z184">
        <f t="shared" si="67"/>
        <v>0</v>
      </c>
      <c r="AA184">
        <f t="shared" si="68"/>
        <v>0</v>
      </c>
      <c r="AB184">
        <f t="shared" si="69"/>
        <v>0</v>
      </c>
      <c r="AC184">
        <f t="shared" si="70"/>
        <v>1</v>
      </c>
      <c r="AD184">
        <f t="shared" si="71"/>
        <v>0</v>
      </c>
      <c r="AE184">
        <f t="shared" si="72"/>
        <v>0</v>
      </c>
      <c r="AF184">
        <f>IF(ISNUMBER(SEARCH("endocrine", W184)), 1, 0)</f>
        <v>0</v>
      </c>
      <c r="AG184" t="s">
        <v>9</v>
      </c>
      <c r="AH184" t="s">
        <v>10</v>
      </c>
      <c r="AI184" t="s">
        <v>263</v>
      </c>
      <c r="AJ184">
        <f t="shared" si="73"/>
        <v>0</v>
      </c>
      <c r="AK184">
        <f t="shared" si="74"/>
        <v>0</v>
      </c>
      <c r="AL184">
        <f t="shared" si="75"/>
        <v>0</v>
      </c>
      <c r="AM184">
        <f t="shared" si="76"/>
        <v>0</v>
      </c>
      <c r="AN184">
        <f t="shared" si="77"/>
        <v>1</v>
      </c>
      <c r="AO184">
        <f t="shared" si="78"/>
        <v>0</v>
      </c>
      <c r="AP184" t="s">
        <v>12</v>
      </c>
      <c r="AQ184">
        <f t="shared" si="79"/>
        <v>1</v>
      </c>
      <c r="AR184">
        <f t="shared" si="80"/>
        <v>0</v>
      </c>
      <c r="AS184">
        <f t="shared" si="81"/>
        <v>0</v>
      </c>
      <c r="AT184">
        <f t="shared" si="82"/>
        <v>0</v>
      </c>
      <c r="AU184">
        <f t="shared" si="83"/>
        <v>0</v>
      </c>
    </row>
    <row r="185" spans="1:47" x14ac:dyDescent="0.2">
      <c r="A185" t="s">
        <v>215</v>
      </c>
      <c r="B185">
        <v>2020</v>
      </c>
      <c r="C185">
        <v>2014</v>
      </c>
      <c r="D185" t="s">
        <v>264</v>
      </c>
      <c r="E185">
        <v>1</v>
      </c>
      <c r="F185">
        <v>0</v>
      </c>
      <c r="G185">
        <v>0</v>
      </c>
      <c r="H185">
        <v>702</v>
      </c>
      <c r="I185" t="s">
        <v>8</v>
      </c>
      <c r="J185" t="s">
        <v>8</v>
      </c>
      <c r="K185" t="s">
        <v>8</v>
      </c>
      <c r="L185" t="s">
        <v>8</v>
      </c>
      <c r="M185">
        <v>0</v>
      </c>
      <c r="N185" t="s">
        <v>46</v>
      </c>
      <c r="O185">
        <f t="shared" si="57"/>
        <v>1</v>
      </c>
      <c r="P185">
        <f t="shared" si="58"/>
        <v>0</v>
      </c>
      <c r="Q185">
        <f t="shared" si="59"/>
        <v>0</v>
      </c>
      <c r="R185">
        <f t="shared" si="60"/>
        <v>0</v>
      </c>
      <c r="S185">
        <f t="shared" si="61"/>
        <v>0</v>
      </c>
      <c r="T185">
        <f t="shared" si="62"/>
        <v>0</v>
      </c>
      <c r="U185">
        <f t="shared" si="63"/>
        <v>0</v>
      </c>
      <c r="V185">
        <f t="shared" si="64"/>
        <v>0</v>
      </c>
      <c r="W185" t="str">
        <f>VLOOKUP(A185,[2]!Table2[[NCT Number]:[Intervention type]],11,FALSE)</f>
        <v>Targeted therapy</v>
      </c>
      <c r="X185">
        <f t="shared" si="65"/>
        <v>0</v>
      </c>
      <c r="Y185">
        <f t="shared" si="66"/>
        <v>1</v>
      </c>
      <c r="Z185">
        <f t="shared" si="67"/>
        <v>0</v>
      </c>
      <c r="AA185">
        <f t="shared" si="68"/>
        <v>0</v>
      </c>
      <c r="AB185">
        <f t="shared" si="69"/>
        <v>0</v>
      </c>
      <c r="AC185">
        <f t="shared" si="70"/>
        <v>0</v>
      </c>
      <c r="AD185">
        <f t="shared" si="71"/>
        <v>0</v>
      </c>
      <c r="AE185">
        <f t="shared" si="72"/>
        <v>0</v>
      </c>
      <c r="AF185">
        <f>IF(ISNUMBER(SEARCH("endocrine", W185)), 1, 0)</f>
        <v>0</v>
      </c>
      <c r="AG185" t="s">
        <v>15</v>
      </c>
      <c r="AH185" t="s">
        <v>10</v>
      </c>
      <c r="AI185" t="s">
        <v>42</v>
      </c>
      <c r="AJ185">
        <f t="shared" si="73"/>
        <v>0</v>
      </c>
      <c r="AK185">
        <f t="shared" si="74"/>
        <v>0</v>
      </c>
      <c r="AL185">
        <f t="shared" si="75"/>
        <v>1</v>
      </c>
      <c r="AM185">
        <f t="shared" si="76"/>
        <v>0</v>
      </c>
      <c r="AN185">
        <f t="shared" si="77"/>
        <v>0</v>
      </c>
      <c r="AO185">
        <f t="shared" si="78"/>
        <v>0</v>
      </c>
      <c r="AP185" t="s">
        <v>8</v>
      </c>
      <c r="AQ185">
        <f t="shared" si="79"/>
        <v>0</v>
      </c>
      <c r="AR185">
        <f t="shared" si="80"/>
        <v>0</v>
      </c>
      <c r="AS185">
        <f t="shared" si="81"/>
        <v>0</v>
      </c>
      <c r="AT185">
        <f t="shared" si="82"/>
        <v>0</v>
      </c>
      <c r="AU185">
        <f t="shared" si="83"/>
        <v>1</v>
      </c>
    </row>
    <row r="186" spans="1:47" x14ac:dyDescent="0.2">
      <c r="A186" t="s">
        <v>216</v>
      </c>
      <c r="B186">
        <v>2022</v>
      </c>
      <c r="C186">
        <v>2015</v>
      </c>
      <c r="D186" t="s">
        <v>264</v>
      </c>
      <c r="E186">
        <v>1</v>
      </c>
      <c r="F186">
        <v>0</v>
      </c>
      <c r="G186">
        <v>0</v>
      </c>
      <c r="H186">
        <v>706</v>
      </c>
      <c r="I186">
        <v>20</v>
      </c>
      <c r="J186">
        <f t="shared" si="56"/>
        <v>2.8328611898016995</v>
      </c>
      <c r="K186">
        <v>557</v>
      </c>
      <c r="L186">
        <v>129</v>
      </c>
      <c r="M186">
        <v>377</v>
      </c>
      <c r="N186" t="s">
        <v>6</v>
      </c>
      <c r="O186">
        <f t="shared" si="57"/>
        <v>0</v>
      </c>
      <c r="P186">
        <f t="shared" si="58"/>
        <v>1</v>
      </c>
      <c r="Q186">
        <f t="shared" si="59"/>
        <v>0</v>
      </c>
      <c r="R186">
        <f t="shared" si="60"/>
        <v>0</v>
      </c>
      <c r="S186">
        <f t="shared" si="61"/>
        <v>0</v>
      </c>
      <c r="T186">
        <f t="shared" si="62"/>
        <v>1</v>
      </c>
      <c r="U186">
        <f t="shared" si="63"/>
        <v>0</v>
      </c>
      <c r="V186">
        <f t="shared" si="64"/>
        <v>0</v>
      </c>
      <c r="W186" t="str">
        <f>VLOOKUP(A186,[2]!Table2[[NCT Number]:[Intervention type]],11,FALSE)</f>
        <v>Targeted therapy</v>
      </c>
      <c r="X186">
        <f t="shared" si="65"/>
        <v>0</v>
      </c>
      <c r="Y186">
        <f t="shared" si="66"/>
        <v>1</v>
      </c>
      <c r="Z186">
        <f t="shared" si="67"/>
        <v>0</v>
      </c>
      <c r="AA186">
        <f t="shared" si="68"/>
        <v>0</v>
      </c>
      <c r="AB186">
        <f t="shared" si="69"/>
        <v>0</v>
      </c>
      <c r="AC186">
        <f t="shared" si="70"/>
        <v>0</v>
      </c>
      <c r="AD186">
        <f t="shared" si="71"/>
        <v>0</v>
      </c>
      <c r="AE186">
        <f t="shared" si="72"/>
        <v>0</v>
      </c>
      <c r="AF186">
        <f>IF(ISNUMBER(SEARCH("endocrine", W186)), 1, 0)</f>
        <v>0</v>
      </c>
      <c r="AG186" t="s">
        <v>15</v>
      </c>
      <c r="AH186" t="s">
        <v>10</v>
      </c>
      <c r="AI186" t="s">
        <v>11</v>
      </c>
      <c r="AJ186">
        <f t="shared" si="73"/>
        <v>0</v>
      </c>
      <c r="AK186">
        <f t="shared" si="74"/>
        <v>1</v>
      </c>
      <c r="AL186">
        <f t="shared" si="75"/>
        <v>0</v>
      </c>
      <c r="AM186">
        <f t="shared" si="76"/>
        <v>0</v>
      </c>
      <c r="AN186">
        <f t="shared" si="77"/>
        <v>0</v>
      </c>
      <c r="AO186">
        <f t="shared" si="78"/>
        <v>0</v>
      </c>
      <c r="AP186" t="s">
        <v>12</v>
      </c>
      <c r="AQ186">
        <f t="shared" si="79"/>
        <v>1</v>
      </c>
      <c r="AR186">
        <f t="shared" si="80"/>
        <v>0</v>
      </c>
      <c r="AS186">
        <f t="shared" si="81"/>
        <v>0</v>
      </c>
      <c r="AT186">
        <f t="shared" si="82"/>
        <v>0</v>
      </c>
      <c r="AU186">
        <f t="shared" si="83"/>
        <v>0</v>
      </c>
    </row>
    <row r="187" spans="1:47" x14ac:dyDescent="0.2">
      <c r="A187" t="s">
        <v>217</v>
      </c>
      <c r="B187">
        <v>2019</v>
      </c>
      <c r="C187">
        <v>2016</v>
      </c>
      <c r="D187" t="s">
        <v>265</v>
      </c>
      <c r="E187">
        <v>0</v>
      </c>
      <c r="F187">
        <v>1</v>
      </c>
      <c r="G187">
        <v>0</v>
      </c>
      <c r="H187">
        <v>706</v>
      </c>
      <c r="I187">
        <v>0</v>
      </c>
      <c r="J187">
        <f t="shared" si="56"/>
        <v>0</v>
      </c>
      <c r="K187">
        <v>626</v>
      </c>
      <c r="L187">
        <v>80</v>
      </c>
      <c r="M187">
        <v>423</v>
      </c>
      <c r="N187" t="s">
        <v>21</v>
      </c>
      <c r="O187">
        <f t="shared" si="57"/>
        <v>0</v>
      </c>
      <c r="P187">
        <f t="shared" si="58"/>
        <v>0</v>
      </c>
      <c r="Q187">
        <f t="shared" si="59"/>
        <v>0</v>
      </c>
      <c r="R187">
        <f t="shared" si="60"/>
        <v>0</v>
      </c>
      <c r="S187">
        <f t="shared" si="61"/>
        <v>0</v>
      </c>
      <c r="T187">
        <f t="shared" si="62"/>
        <v>0</v>
      </c>
      <c r="U187">
        <f t="shared" si="63"/>
        <v>0</v>
      </c>
      <c r="V187">
        <f t="shared" si="64"/>
        <v>1</v>
      </c>
      <c r="W187" t="str">
        <f>VLOOKUP(A187,[2]!Table2[[NCT Number]:[Intervention type]],11,FALSE)</f>
        <v>immunotherapy+targeted therapy</v>
      </c>
      <c r="X187">
        <f t="shared" si="65"/>
        <v>1</v>
      </c>
      <c r="Y187">
        <f t="shared" si="66"/>
        <v>1</v>
      </c>
      <c r="Z187">
        <f t="shared" si="67"/>
        <v>0</v>
      </c>
      <c r="AA187">
        <f t="shared" si="68"/>
        <v>0</v>
      </c>
      <c r="AB187">
        <f t="shared" si="69"/>
        <v>0</v>
      </c>
      <c r="AC187">
        <f t="shared" si="70"/>
        <v>1</v>
      </c>
      <c r="AD187">
        <f t="shared" si="71"/>
        <v>0</v>
      </c>
      <c r="AE187">
        <f t="shared" si="72"/>
        <v>0</v>
      </c>
      <c r="AF187">
        <f>IF(ISNUMBER(SEARCH("endocrine", W187)), 1, 0)</f>
        <v>0</v>
      </c>
      <c r="AG187" t="s">
        <v>9</v>
      </c>
      <c r="AH187" t="s">
        <v>10</v>
      </c>
      <c r="AI187" t="s">
        <v>263</v>
      </c>
      <c r="AJ187">
        <f t="shared" si="73"/>
        <v>0</v>
      </c>
      <c r="AK187">
        <f t="shared" si="74"/>
        <v>0</v>
      </c>
      <c r="AL187">
        <f t="shared" si="75"/>
        <v>0</v>
      </c>
      <c r="AM187">
        <f t="shared" si="76"/>
        <v>0</v>
      </c>
      <c r="AN187">
        <f t="shared" si="77"/>
        <v>1</v>
      </c>
      <c r="AO187">
        <f t="shared" si="78"/>
        <v>0</v>
      </c>
      <c r="AP187" t="s">
        <v>86</v>
      </c>
      <c r="AQ187">
        <f t="shared" si="79"/>
        <v>0</v>
      </c>
      <c r="AR187">
        <f t="shared" si="80"/>
        <v>0</v>
      </c>
      <c r="AS187">
        <f t="shared" si="81"/>
        <v>0</v>
      </c>
      <c r="AT187">
        <f t="shared" si="82"/>
        <v>1</v>
      </c>
      <c r="AU187">
        <f t="shared" si="83"/>
        <v>0</v>
      </c>
    </row>
    <row r="188" spans="1:47" x14ac:dyDescent="0.2">
      <c r="A188" t="s">
        <v>218</v>
      </c>
      <c r="B188">
        <v>2023</v>
      </c>
      <c r="C188">
        <v>2014</v>
      </c>
      <c r="D188" t="s">
        <v>264</v>
      </c>
      <c r="E188">
        <v>1</v>
      </c>
      <c r="F188">
        <v>0</v>
      </c>
      <c r="G188">
        <v>0</v>
      </c>
      <c r="H188">
        <v>714</v>
      </c>
      <c r="I188">
        <v>5</v>
      </c>
      <c r="J188">
        <f t="shared" si="56"/>
        <v>0.70028011204481788</v>
      </c>
      <c r="K188">
        <v>477</v>
      </c>
      <c r="L188">
        <v>232</v>
      </c>
      <c r="M188">
        <v>515</v>
      </c>
      <c r="N188" t="s">
        <v>56</v>
      </c>
      <c r="O188">
        <f t="shared" si="57"/>
        <v>0</v>
      </c>
      <c r="P188">
        <f t="shared" si="58"/>
        <v>1</v>
      </c>
      <c r="Q188">
        <f t="shared" si="59"/>
        <v>0</v>
      </c>
      <c r="R188">
        <f t="shared" si="60"/>
        <v>0</v>
      </c>
      <c r="S188">
        <f t="shared" si="61"/>
        <v>0</v>
      </c>
      <c r="T188">
        <f t="shared" si="62"/>
        <v>0</v>
      </c>
      <c r="U188">
        <f t="shared" si="63"/>
        <v>0</v>
      </c>
      <c r="V188">
        <f t="shared" si="64"/>
        <v>0</v>
      </c>
      <c r="W188" t="str">
        <f>VLOOKUP(A188,[2]!Table2[[NCT Number]:[Intervention type]],11,FALSE)</f>
        <v>Targeted therapy+chemo</v>
      </c>
      <c r="X188">
        <f t="shared" si="65"/>
        <v>0</v>
      </c>
      <c r="Y188">
        <f t="shared" si="66"/>
        <v>1</v>
      </c>
      <c r="Z188">
        <f t="shared" si="67"/>
        <v>0</v>
      </c>
      <c r="AA188">
        <f t="shared" si="68"/>
        <v>0</v>
      </c>
      <c r="AB188">
        <f t="shared" si="69"/>
        <v>0</v>
      </c>
      <c r="AC188">
        <f t="shared" si="70"/>
        <v>0</v>
      </c>
      <c r="AD188">
        <f t="shared" si="71"/>
        <v>1</v>
      </c>
      <c r="AE188">
        <f t="shared" si="72"/>
        <v>0</v>
      </c>
      <c r="AF188">
        <f>IF(ISNUMBER(SEARCH("endocrine", W188)), 1, 0)</f>
        <v>0</v>
      </c>
      <c r="AG188" t="s">
        <v>9</v>
      </c>
      <c r="AH188" t="s">
        <v>10</v>
      </c>
      <c r="AI188" t="s">
        <v>263</v>
      </c>
      <c r="AJ188">
        <f t="shared" si="73"/>
        <v>0</v>
      </c>
      <c r="AK188">
        <f t="shared" si="74"/>
        <v>0</v>
      </c>
      <c r="AL188">
        <f t="shared" si="75"/>
        <v>0</v>
      </c>
      <c r="AM188">
        <f t="shared" si="76"/>
        <v>0</v>
      </c>
      <c r="AN188">
        <f t="shared" si="77"/>
        <v>1</v>
      </c>
      <c r="AO188">
        <f t="shared" si="78"/>
        <v>0</v>
      </c>
      <c r="AP188" t="s">
        <v>12</v>
      </c>
      <c r="AQ188">
        <f t="shared" si="79"/>
        <v>1</v>
      </c>
      <c r="AR188">
        <f t="shared" si="80"/>
        <v>0</v>
      </c>
      <c r="AS188">
        <f t="shared" si="81"/>
        <v>0</v>
      </c>
      <c r="AT188">
        <f t="shared" si="82"/>
        <v>0</v>
      </c>
      <c r="AU188">
        <f t="shared" si="83"/>
        <v>0</v>
      </c>
    </row>
    <row r="189" spans="1:47" x14ac:dyDescent="0.2">
      <c r="A189" t="s">
        <v>219</v>
      </c>
      <c r="B189">
        <v>2017</v>
      </c>
      <c r="C189">
        <v>2015</v>
      </c>
      <c r="D189" t="s">
        <v>264</v>
      </c>
      <c r="E189">
        <v>1</v>
      </c>
      <c r="F189">
        <v>0</v>
      </c>
      <c r="G189">
        <v>0</v>
      </c>
      <c r="H189">
        <v>719</v>
      </c>
      <c r="I189">
        <v>4</v>
      </c>
      <c r="J189">
        <f t="shared" si="56"/>
        <v>0.55632823365785811</v>
      </c>
      <c r="K189">
        <v>638</v>
      </c>
      <c r="L189">
        <v>77</v>
      </c>
      <c r="M189">
        <v>467</v>
      </c>
      <c r="N189" t="s">
        <v>18</v>
      </c>
      <c r="O189">
        <f t="shared" si="57"/>
        <v>0</v>
      </c>
      <c r="P189">
        <f t="shared" si="58"/>
        <v>0</v>
      </c>
      <c r="Q189">
        <f t="shared" si="59"/>
        <v>0</v>
      </c>
      <c r="R189">
        <f t="shared" si="60"/>
        <v>0</v>
      </c>
      <c r="S189">
        <f t="shared" si="61"/>
        <v>0</v>
      </c>
      <c r="T189">
        <f t="shared" si="62"/>
        <v>0</v>
      </c>
      <c r="U189">
        <f t="shared" si="63"/>
        <v>1</v>
      </c>
      <c r="V189">
        <f t="shared" si="64"/>
        <v>0</v>
      </c>
      <c r="W189" t="str">
        <f>VLOOKUP(A189,[2]!Table2[[NCT Number]:[Intervention type]],11,FALSE)</f>
        <v>Targeted therapy+chemo</v>
      </c>
      <c r="X189">
        <f t="shared" si="65"/>
        <v>0</v>
      </c>
      <c r="Y189">
        <f t="shared" si="66"/>
        <v>1</v>
      </c>
      <c r="Z189">
        <f t="shared" si="67"/>
        <v>0</v>
      </c>
      <c r="AA189">
        <f t="shared" si="68"/>
        <v>0</v>
      </c>
      <c r="AB189">
        <f t="shared" si="69"/>
        <v>0</v>
      </c>
      <c r="AC189">
        <f t="shared" si="70"/>
        <v>0</v>
      </c>
      <c r="AD189">
        <f t="shared" si="71"/>
        <v>1</v>
      </c>
      <c r="AE189">
        <f t="shared" si="72"/>
        <v>0</v>
      </c>
      <c r="AF189">
        <f>IF(ISNUMBER(SEARCH("endocrine", W189)), 1, 0)</f>
        <v>0</v>
      </c>
      <c r="AG189" t="s">
        <v>9</v>
      </c>
      <c r="AH189" t="s">
        <v>10</v>
      </c>
      <c r="AI189" t="s">
        <v>42</v>
      </c>
      <c r="AJ189">
        <f t="shared" si="73"/>
        <v>0</v>
      </c>
      <c r="AK189">
        <f t="shared" si="74"/>
        <v>0</v>
      </c>
      <c r="AL189">
        <f t="shared" si="75"/>
        <v>1</v>
      </c>
      <c r="AM189">
        <f t="shared" si="76"/>
        <v>0</v>
      </c>
      <c r="AN189">
        <f t="shared" si="77"/>
        <v>0</v>
      </c>
      <c r="AO189">
        <f t="shared" si="78"/>
        <v>0</v>
      </c>
      <c r="AP189" t="s">
        <v>8</v>
      </c>
      <c r="AQ189">
        <f t="shared" si="79"/>
        <v>0</v>
      </c>
      <c r="AR189">
        <f t="shared" si="80"/>
        <v>0</v>
      </c>
      <c r="AS189">
        <f t="shared" si="81"/>
        <v>0</v>
      </c>
      <c r="AT189">
        <f t="shared" si="82"/>
        <v>0</v>
      </c>
      <c r="AU189">
        <f t="shared" si="83"/>
        <v>1</v>
      </c>
    </row>
    <row r="190" spans="1:47" x14ac:dyDescent="0.2">
      <c r="A190" t="s">
        <v>220</v>
      </c>
      <c r="B190">
        <v>2021</v>
      </c>
      <c r="C190">
        <v>2015</v>
      </c>
      <c r="D190" t="s">
        <v>264</v>
      </c>
      <c r="E190">
        <v>1</v>
      </c>
      <c r="F190">
        <v>0</v>
      </c>
      <c r="G190">
        <v>0</v>
      </c>
      <c r="H190">
        <v>723</v>
      </c>
      <c r="I190">
        <v>26</v>
      </c>
      <c r="J190">
        <f t="shared" si="56"/>
        <v>3.5961272475795298</v>
      </c>
      <c r="K190">
        <v>650</v>
      </c>
      <c r="L190">
        <v>47</v>
      </c>
      <c r="M190">
        <v>415</v>
      </c>
      <c r="N190" t="s">
        <v>18</v>
      </c>
      <c r="O190">
        <f t="shared" si="57"/>
        <v>0</v>
      </c>
      <c r="P190">
        <f t="shared" si="58"/>
        <v>0</v>
      </c>
      <c r="Q190">
        <f t="shared" si="59"/>
        <v>0</v>
      </c>
      <c r="R190">
        <f t="shared" si="60"/>
        <v>0</v>
      </c>
      <c r="S190">
        <f t="shared" si="61"/>
        <v>0</v>
      </c>
      <c r="T190">
        <f t="shared" si="62"/>
        <v>0</v>
      </c>
      <c r="U190">
        <f t="shared" si="63"/>
        <v>1</v>
      </c>
      <c r="V190">
        <f t="shared" si="64"/>
        <v>0</v>
      </c>
      <c r="W190" t="str">
        <f>VLOOKUP(A190,[2]!Table2[[NCT Number]:[Intervention type]],11,FALSE)</f>
        <v>immunotherapy+chemo</v>
      </c>
      <c r="X190">
        <f t="shared" si="65"/>
        <v>1</v>
      </c>
      <c r="Y190">
        <f t="shared" si="66"/>
        <v>0</v>
      </c>
      <c r="Z190">
        <f t="shared" si="67"/>
        <v>0</v>
      </c>
      <c r="AA190">
        <f t="shared" si="68"/>
        <v>0</v>
      </c>
      <c r="AB190">
        <f t="shared" si="69"/>
        <v>0</v>
      </c>
      <c r="AC190">
        <f t="shared" si="70"/>
        <v>0</v>
      </c>
      <c r="AD190">
        <f t="shared" si="71"/>
        <v>0</v>
      </c>
      <c r="AE190">
        <f t="shared" si="72"/>
        <v>1</v>
      </c>
      <c r="AF190">
        <f>IF(ISNUMBER(SEARCH("endocrine", W190)), 1, 0)</f>
        <v>0</v>
      </c>
      <c r="AG190" t="s">
        <v>9</v>
      </c>
      <c r="AH190" t="s">
        <v>10</v>
      </c>
      <c r="AI190" t="s">
        <v>42</v>
      </c>
      <c r="AJ190">
        <f t="shared" si="73"/>
        <v>0</v>
      </c>
      <c r="AK190">
        <f t="shared" si="74"/>
        <v>0</v>
      </c>
      <c r="AL190">
        <f t="shared" si="75"/>
        <v>1</v>
      </c>
      <c r="AM190">
        <f t="shared" si="76"/>
        <v>0</v>
      </c>
      <c r="AN190">
        <f t="shared" si="77"/>
        <v>0</v>
      </c>
      <c r="AO190">
        <f t="shared" si="78"/>
        <v>0</v>
      </c>
      <c r="AP190" t="s">
        <v>8</v>
      </c>
      <c r="AQ190">
        <f t="shared" si="79"/>
        <v>0</v>
      </c>
      <c r="AR190">
        <f t="shared" si="80"/>
        <v>0</v>
      </c>
      <c r="AS190">
        <f t="shared" si="81"/>
        <v>0</v>
      </c>
      <c r="AT190">
        <f t="shared" si="82"/>
        <v>0</v>
      </c>
      <c r="AU190">
        <f t="shared" si="83"/>
        <v>1</v>
      </c>
    </row>
    <row r="191" spans="1:47" x14ac:dyDescent="0.2">
      <c r="A191" t="s">
        <v>221</v>
      </c>
      <c r="B191">
        <v>2023</v>
      </c>
      <c r="C191">
        <v>2018</v>
      </c>
      <c r="D191" t="s">
        <v>265</v>
      </c>
      <c r="E191">
        <v>0</v>
      </c>
      <c r="F191">
        <v>1</v>
      </c>
      <c r="G191">
        <v>0</v>
      </c>
      <c r="H191">
        <v>726</v>
      </c>
      <c r="I191">
        <v>5</v>
      </c>
      <c r="J191">
        <f t="shared" si="56"/>
        <v>0.68870523415977958</v>
      </c>
      <c r="K191">
        <v>619</v>
      </c>
      <c r="L191">
        <v>102</v>
      </c>
      <c r="M191">
        <v>0</v>
      </c>
      <c r="N191" t="s">
        <v>46</v>
      </c>
      <c r="O191">
        <f t="shared" si="57"/>
        <v>1</v>
      </c>
      <c r="P191">
        <f t="shared" si="58"/>
        <v>0</v>
      </c>
      <c r="Q191">
        <f t="shared" si="59"/>
        <v>0</v>
      </c>
      <c r="R191">
        <f t="shared" si="60"/>
        <v>0</v>
      </c>
      <c r="S191">
        <f t="shared" si="61"/>
        <v>0</v>
      </c>
      <c r="T191">
        <f t="shared" si="62"/>
        <v>0</v>
      </c>
      <c r="U191">
        <f t="shared" si="63"/>
        <v>0</v>
      </c>
      <c r="V191">
        <f t="shared" si="64"/>
        <v>0</v>
      </c>
      <c r="W191" t="str">
        <f>VLOOKUP(A191,[2]!Table2[[NCT Number]:[Intervention type]],11,FALSE)</f>
        <v>Targeted therapy</v>
      </c>
      <c r="X191">
        <f t="shared" si="65"/>
        <v>0</v>
      </c>
      <c r="Y191">
        <f t="shared" si="66"/>
        <v>1</v>
      </c>
      <c r="Z191">
        <f t="shared" si="67"/>
        <v>0</v>
      </c>
      <c r="AA191">
        <f t="shared" si="68"/>
        <v>0</v>
      </c>
      <c r="AB191">
        <f t="shared" si="69"/>
        <v>0</v>
      </c>
      <c r="AC191">
        <f t="shared" si="70"/>
        <v>0</v>
      </c>
      <c r="AD191">
        <f t="shared" si="71"/>
        <v>0</v>
      </c>
      <c r="AE191">
        <f t="shared" si="72"/>
        <v>0</v>
      </c>
      <c r="AF191">
        <f>IF(ISNUMBER(SEARCH("endocrine", W191)), 1, 0)</f>
        <v>0</v>
      </c>
      <c r="AG191" t="s">
        <v>15</v>
      </c>
      <c r="AH191" t="s">
        <v>10</v>
      </c>
      <c r="AI191" t="s">
        <v>42</v>
      </c>
      <c r="AJ191">
        <f t="shared" si="73"/>
        <v>0</v>
      </c>
      <c r="AK191">
        <f t="shared" si="74"/>
        <v>0</v>
      </c>
      <c r="AL191">
        <f t="shared" si="75"/>
        <v>1</v>
      </c>
      <c r="AM191">
        <f t="shared" si="76"/>
        <v>0</v>
      </c>
      <c r="AN191">
        <f t="shared" si="77"/>
        <v>0</v>
      </c>
      <c r="AO191">
        <f t="shared" si="78"/>
        <v>0</v>
      </c>
      <c r="AP191" t="s">
        <v>8</v>
      </c>
      <c r="AQ191">
        <f t="shared" si="79"/>
        <v>0</v>
      </c>
      <c r="AR191">
        <f t="shared" si="80"/>
        <v>0</v>
      </c>
      <c r="AS191">
        <f t="shared" si="81"/>
        <v>0</v>
      </c>
      <c r="AT191">
        <f t="shared" si="82"/>
        <v>0</v>
      </c>
      <c r="AU191">
        <f t="shared" si="83"/>
        <v>1</v>
      </c>
    </row>
    <row r="192" spans="1:47" x14ac:dyDescent="0.2">
      <c r="A192" t="s">
        <v>222</v>
      </c>
      <c r="B192">
        <v>2023</v>
      </c>
      <c r="C192">
        <v>2018</v>
      </c>
      <c r="D192" t="s">
        <v>265</v>
      </c>
      <c r="E192">
        <v>0</v>
      </c>
      <c r="F192">
        <v>1</v>
      </c>
      <c r="G192">
        <v>0</v>
      </c>
      <c r="H192">
        <v>729</v>
      </c>
      <c r="I192">
        <v>14</v>
      </c>
      <c r="J192">
        <f t="shared" si="56"/>
        <v>1.9204389574759946</v>
      </c>
      <c r="K192">
        <v>429</v>
      </c>
      <c r="L192">
        <v>286</v>
      </c>
      <c r="M192">
        <v>375</v>
      </c>
      <c r="N192" t="s">
        <v>6</v>
      </c>
      <c r="O192">
        <f t="shared" si="57"/>
        <v>0</v>
      </c>
      <c r="P192">
        <f t="shared" si="58"/>
        <v>1</v>
      </c>
      <c r="Q192">
        <f t="shared" si="59"/>
        <v>0</v>
      </c>
      <c r="R192">
        <f t="shared" si="60"/>
        <v>0</v>
      </c>
      <c r="S192">
        <f t="shared" si="61"/>
        <v>0</v>
      </c>
      <c r="T192">
        <f t="shared" si="62"/>
        <v>1</v>
      </c>
      <c r="U192">
        <f t="shared" si="63"/>
        <v>0</v>
      </c>
      <c r="V192">
        <f t="shared" si="64"/>
        <v>0</v>
      </c>
      <c r="W192" t="str">
        <f>VLOOKUP(A192,[2]!Table2[[NCT Number]:[Intervention type]],11,FALSE)</f>
        <v>Targeted therapy+chemo</v>
      </c>
      <c r="X192">
        <f t="shared" si="65"/>
        <v>0</v>
      </c>
      <c r="Y192">
        <f t="shared" si="66"/>
        <v>1</v>
      </c>
      <c r="Z192">
        <f t="shared" si="67"/>
        <v>0</v>
      </c>
      <c r="AA192">
        <f t="shared" si="68"/>
        <v>0</v>
      </c>
      <c r="AB192">
        <f t="shared" si="69"/>
        <v>0</v>
      </c>
      <c r="AC192">
        <f t="shared" si="70"/>
        <v>0</v>
      </c>
      <c r="AD192">
        <f t="shared" si="71"/>
        <v>1</v>
      </c>
      <c r="AE192">
        <f t="shared" si="72"/>
        <v>0</v>
      </c>
      <c r="AF192">
        <f>IF(ISNUMBER(SEARCH("endocrine", W192)), 1, 0)</f>
        <v>0</v>
      </c>
      <c r="AG192" t="s">
        <v>9</v>
      </c>
      <c r="AH192" t="s">
        <v>10</v>
      </c>
      <c r="AI192" t="s">
        <v>11</v>
      </c>
      <c r="AJ192">
        <f t="shared" si="73"/>
        <v>0</v>
      </c>
      <c r="AK192">
        <f t="shared" si="74"/>
        <v>1</v>
      </c>
      <c r="AL192">
        <f t="shared" si="75"/>
        <v>0</v>
      </c>
      <c r="AM192">
        <f t="shared" si="76"/>
        <v>0</v>
      </c>
      <c r="AN192">
        <f t="shared" si="77"/>
        <v>0</v>
      </c>
      <c r="AO192">
        <f t="shared" si="78"/>
        <v>0</v>
      </c>
      <c r="AP192" t="s">
        <v>12</v>
      </c>
      <c r="AQ192">
        <f t="shared" si="79"/>
        <v>1</v>
      </c>
      <c r="AR192">
        <f t="shared" si="80"/>
        <v>0</v>
      </c>
      <c r="AS192">
        <f t="shared" si="81"/>
        <v>0</v>
      </c>
      <c r="AT192">
        <f t="shared" si="82"/>
        <v>0</v>
      </c>
      <c r="AU192">
        <f t="shared" si="83"/>
        <v>0</v>
      </c>
    </row>
    <row r="193" spans="1:47" x14ac:dyDescent="0.2">
      <c r="A193" t="s">
        <v>223</v>
      </c>
      <c r="B193">
        <v>2022</v>
      </c>
      <c r="C193">
        <v>2016</v>
      </c>
      <c r="D193" t="s">
        <v>265</v>
      </c>
      <c r="E193">
        <v>0</v>
      </c>
      <c r="F193">
        <v>1</v>
      </c>
      <c r="G193">
        <v>0</v>
      </c>
      <c r="H193">
        <v>731</v>
      </c>
      <c r="I193">
        <v>1</v>
      </c>
      <c r="J193">
        <f t="shared" si="56"/>
        <v>0.13679890560875513</v>
      </c>
      <c r="K193">
        <v>636</v>
      </c>
      <c r="L193">
        <v>94</v>
      </c>
      <c r="M193">
        <v>483</v>
      </c>
      <c r="N193" t="s">
        <v>18</v>
      </c>
      <c r="O193">
        <f t="shared" si="57"/>
        <v>0</v>
      </c>
      <c r="P193">
        <f t="shared" si="58"/>
        <v>0</v>
      </c>
      <c r="Q193">
        <f t="shared" si="59"/>
        <v>0</v>
      </c>
      <c r="R193">
        <f t="shared" si="60"/>
        <v>0</v>
      </c>
      <c r="S193">
        <f t="shared" si="61"/>
        <v>0</v>
      </c>
      <c r="T193">
        <f t="shared" si="62"/>
        <v>0</v>
      </c>
      <c r="U193">
        <f t="shared" si="63"/>
        <v>1</v>
      </c>
      <c r="V193">
        <f t="shared" si="64"/>
        <v>0</v>
      </c>
      <c r="W193" t="str">
        <f>VLOOKUP(A193,[2]!Table2[[NCT Number]:[Intervention type]],11,FALSE)</f>
        <v>Targeted therapy+chemo</v>
      </c>
      <c r="X193">
        <f t="shared" si="65"/>
        <v>0</v>
      </c>
      <c r="Y193">
        <f t="shared" si="66"/>
        <v>1</v>
      </c>
      <c r="Z193">
        <f t="shared" si="67"/>
        <v>0</v>
      </c>
      <c r="AA193">
        <f t="shared" si="68"/>
        <v>0</v>
      </c>
      <c r="AB193">
        <f t="shared" si="69"/>
        <v>0</v>
      </c>
      <c r="AC193">
        <f t="shared" si="70"/>
        <v>0</v>
      </c>
      <c r="AD193">
        <f t="shared" si="71"/>
        <v>1</v>
      </c>
      <c r="AE193">
        <f t="shared" si="72"/>
        <v>0</v>
      </c>
      <c r="AF193">
        <f>IF(ISNUMBER(SEARCH("endocrine", W193)), 1, 0)</f>
        <v>0</v>
      </c>
      <c r="AG193" t="s">
        <v>9</v>
      </c>
      <c r="AH193" t="s">
        <v>10</v>
      </c>
      <c r="AI193" t="s">
        <v>11</v>
      </c>
      <c r="AJ193">
        <f t="shared" si="73"/>
        <v>0</v>
      </c>
      <c r="AK193">
        <f t="shared" si="74"/>
        <v>1</v>
      </c>
      <c r="AL193">
        <f t="shared" si="75"/>
        <v>0</v>
      </c>
      <c r="AM193">
        <f t="shared" si="76"/>
        <v>0</v>
      </c>
      <c r="AN193">
        <f t="shared" si="77"/>
        <v>0</v>
      </c>
      <c r="AO193">
        <f t="shared" si="78"/>
        <v>0</v>
      </c>
      <c r="AP193" t="s">
        <v>12</v>
      </c>
      <c r="AQ193">
        <f t="shared" si="79"/>
        <v>1</v>
      </c>
      <c r="AR193">
        <f t="shared" si="80"/>
        <v>0</v>
      </c>
      <c r="AS193">
        <f t="shared" si="81"/>
        <v>0</v>
      </c>
      <c r="AT193">
        <f t="shared" si="82"/>
        <v>0</v>
      </c>
      <c r="AU193">
        <f t="shared" si="83"/>
        <v>0</v>
      </c>
    </row>
    <row r="194" spans="1:47" x14ac:dyDescent="0.2">
      <c r="A194" t="s">
        <v>224</v>
      </c>
      <c r="B194">
        <v>2020</v>
      </c>
      <c r="C194">
        <v>2015</v>
      </c>
      <c r="D194" t="s">
        <v>264</v>
      </c>
      <c r="E194">
        <v>1</v>
      </c>
      <c r="F194">
        <v>0</v>
      </c>
      <c r="G194">
        <v>0</v>
      </c>
      <c r="H194">
        <v>736</v>
      </c>
      <c r="I194">
        <v>4</v>
      </c>
      <c r="J194">
        <f t="shared" si="56"/>
        <v>0.54347826086956519</v>
      </c>
      <c r="K194">
        <v>591</v>
      </c>
      <c r="L194">
        <v>141</v>
      </c>
      <c r="M194">
        <v>618</v>
      </c>
      <c r="N194" t="s">
        <v>35</v>
      </c>
      <c r="O194">
        <f t="shared" si="57"/>
        <v>0</v>
      </c>
      <c r="P194">
        <f t="shared" si="58"/>
        <v>0</v>
      </c>
      <c r="Q194">
        <f t="shared" si="59"/>
        <v>0</v>
      </c>
      <c r="R194">
        <f t="shared" si="60"/>
        <v>0</v>
      </c>
      <c r="S194">
        <f t="shared" si="61"/>
        <v>1</v>
      </c>
      <c r="T194">
        <f t="shared" si="62"/>
        <v>0</v>
      </c>
      <c r="U194">
        <f t="shared" si="63"/>
        <v>0</v>
      </c>
      <c r="V194">
        <f t="shared" si="64"/>
        <v>0</v>
      </c>
      <c r="W194" t="str">
        <f>VLOOKUP(A194,[2]!Table2[[NCT Number]:[Intervention type]],11,FALSE)</f>
        <v>immunotherapy</v>
      </c>
      <c r="X194">
        <f t="shared" si="65"/>
        <v>1</v>
      </c>
      <c r="Y194">
        <f t="shared" si="66"/>
        <v>0</v>
      </c>
      <c r="Z194">
        <f t="shared" si="67"/>
        <v>0</v>
      </c>
      <c r="AA194">
        <f t="shared" si="68"/>
        <v>0</v>
      </c>
      <c r="AB194">
        <f t="shared" si="69"/>
        <v>0</v>
      </c>
      <c r="AC194">
        <f t="shared" si="70"/>
        <v>0</v>
      </c>
      <c r="AD194">
        <f t="shared" si="71"/>
        <v>0</v>
      </c>
      <c r="AE194">
        <f t="shared" si="72"/>
        <v>0</v>
      </c>
      <c r="AF194">
        <f>IF(ISNUMBER(SEARCH("endocrine", W194)), 1, 0)</f>
        <v>0</v>
      </c>
      <c r="AG194" t="s">
        <v>9</v>
      </c>
      <c r="AH194" t="s">
        <v>10</v>
      </c>
      <c r="AI194" t="s">
        <v>11</v>
      </c>
      <c r="AJ194">
        <f t="shared" si="73"/>
        <v>0</v>
      </c>
      <c r="AK194">
        <f t="shared" si="74"/>
        <v>1</v>
      </c>
      <c r="AL194">
        <f t="shared" si="75"/>
        <v>0</v>
      </c>
      <c r="AM194">
        <f t="shared" si="76"/>
        <v>0</v>
      </c>
      <c r="AN194">
        <f t="shared" si="77"/>
        <v>0</v>
      </c>
      <c r="AO194">
        <f t="shared" si="78"/>
        <v>0</v>
      </c>
      <c r="AP194" t="s">
        <v>12</v>
      </c>
      <c r="AQ194">
        <f t="shared" si="79"/>
        <v>1</v>
      </c>
      <c r="AR194">
        <f t="shared" si="80"/>
        <v>0</v>
      </c>
      <c r="AS194">
        <f t="shared" si="81"/>
        <v>0</v>
      </c>
      <c r="AT194">
        <f t="shared" si="82"/>
        <v>0</v>
      </c>
      <c r="AU194">
        <f t="shared" si="83"/>
        <v>0</v>
      </c>
    </row>
    <row r="195" spans="1:47" x14ac:dyDescent="0.2">
      <c r="A195" t="s">
        <v>225</v>
      </c>
      <c r="B195">
        <v>2021</v>
      </c>
      <c r="C195">
        <v>2017</v>
      </c>
      <c r="D195" t="s">
        <v>265</v>
      </c>
      <c r="E195">
        <v>0</v>
      </c>
      <c r="F195">
        <v>1</v>
      </c>
      <c r="G195">
        <v>0</v>
      </c>
      <c r="H195">
        <v>749</v>
      </c>
      <c r="I195">
        <v>7</v>
      </c>
      <c r="J195">
        <f t="shared" ref="J195:J232" si="84">100*I195/H195</f>
        <v>0.93457943925233644</v>
      </c>
      <c r="K195">
        <v>278</v>
      </c>
      <c r="L195">
        <v>312</v>
      </c>
      <c r="M195">
        <v>625</v>
      </c>
      <c r="N195" t="s">
        <v>56</v>
      </c>
      <c r="O195">
        <f t="shared" ref="O195:O232" si="85">IF(ISNUMBER(SEARCH("Breast", N195)), 1, 0)</f>
        <v>0</v>
      </c>
      <c r="P195">
        <f t="shared" ref="P195:P232" si="86">IF(ISNUMBER(SEARCH("GI", $N195)), 1, 0)</f>
        <v>1</v>
      </c>
      <c r="Q195">
        <f t="shared" ref="Q195:Q232" si="87">IF(ISNUMBER(SEARCH("GU", $N195)), 1, 0)</f>
        <v>0</v>
      </c>
      <c r="R195">
        <f t="shared" ref="R195:R232" si="88">IF(ISNUMBER(SEARCH("Gynacologic", $N195)), 1, 0)</f>
        <v>0</v>
      </c>
      <c r="S195">
        <f t="shared" ref="S195:S232" si="89">IF(ISNUMBER(SEARCH("Head and neck", $N195)), 1, 0)</f>
        <v>0</v>
      </c>
      <c r="T195">
        <f t="shared" ref="T195:T232" si="90">IF(ISNUMBER(SEARCH("Hematologic", $N195)), 1, 0)</f>
        <v>0</v>
      </c>
      <c r="U195">
        <f t="shared" ref="U195:U232" si="91">IF(ISNUMBER(SEARCH("Lung", $N195)), 1, 0)</f>
        <v>0</v>
      </c>
      <c r="V195">
        <f t="shared" ref="V195:V232" si="92">IF(ISNUMBER(SEARCH("Skin", $N195)), 1, 0)</f>
        <v>0</v>
      </c>
      <c r="W195" t="str">
        <f>VLOOKUP(A195,[2]!Table2[[NCT Number]:[Intervention type]],11,FALSE)</f>
        <v>immunotherapy+chemo</v>
      </c>
      <c r="X195">
        <f t="shared" ref="X195:X232" si="93">IF(ISNUMBER(SEARCH("immunotherapy", W195)), 1, 0)</f>
        <v>1</v>
      </c>
      <c r="Y195">
        <f t="shared" ref="Y195:Y232" si="94">IF(ISNUMBER(SEARCH("Targeted therapy", W195)), 1, 0)</f>
        <v>0</v>
      </c>
      <c r="Z195">
        <f t="shared" ref="Z195:Z232" si="95">IF(ISNUMBER(SEARCH("chemotherapy", W195)), 1, 0)</f>
        <v>0</v>
      </c>
      <c r="AA195">
        <f t="shared" ref="AA195:AA232" si="96">IF(ISNUMBER(SEARCH("biologic agent", W195)), 1, 0)</f>
        <v>0</v>
      </c>
      <c r="AB195">
        <f t="shared" ref="AB195:AB232" si="97">IF(ISNUMBER(FIND("Other", W195)), 1, 0)</f>
        <v>0</v>
      </c>
      <c r="AC195">
        <f t="shared" ref="AC195:AC232" si="98">IF(ISNUMBER(SEARCH("immunotherapy+targeted therapy", W195)), 1, 0)</f>
        <v>0</v>
      </c>
      <c r="AD195">
        <f t="shared" ref="AD195:AD232" si="99">IF(ISNUMBER(SEARCH("Targeted therapy+chemo", W195)), 1, 0)</f>
        <v>0</v>
      </c>
      <c r="AE195">
        <f t="shared" ref="AE195:AE232" si="100">IF(ISNUMBER(SEARCH("immunotherapy+chemo", W195)), 1, 0)</f>
        <v>1</v>
      </c>
      <c r="AF195">
        <f>IF(ISNUMBER(SEARCH("endocrine", W195)), 1, 0)</f>
        <v>0</v>
      </c>
      <c r="AG195" t="s">
        <v>9</v>
      </c>
      <c r="AH195" t="s">
        <v>10</v>
      </c>
      <c r="AI195" t="s">
        <v>263</v>
      </c>
      <c r="AJ195">
        <f t="shared" ref="AJ195:AJ232" si="101">IF(ISNUMBER(FIND("CrABS", AI195)), 1, 0)</f>
        <v>0</v>
      </c>
      <c r="AK195">
        <f t="shared" ref="AK195:AK232" si="102">IF(ISNUMBER(FIND("CrCl", AI195)), 1, 0)</f>
        <v>0</v>
      </c>
      <c r="AL195">
        <f t="shared" ref="AL195:AL232" si="103">IF(ISNUMBER(FIND("CrULN", AI195)), 1, 0)</f>
        <v>0</v>
      </c>
      <c r="AM195">
        <f t="shared" ref="AM195:AM232" si="104">IF(ISNUMBER(FIND("eGFR", AI195)), 1, 0)</f>
        <v>0</v>
      </c>
      <c r="AN195">
        <f t="shared" ref="AN195:AN232" si="105">IF(ISNUMBER(FIND("Heterogeneous", AI195)), 1, 0)</f>
        <v>1</v>
      </c>
      <c r="AO195">
        <f t="shared" ref="AO195:AO232" si="106">IF(ISNUMBER(FIND("n/a", AI195)), 1, 0)</f>
        <v>0</v>
      </c>
      <c r="AP195" t="s">
        <v>39</v>
      </c>
      <c r="AQ195">
        <f t="shared" ref="AQ195:AQ232" si="107">IF(ISNUMBER(FIND("Cockcroft- Gault", $AP195)), 1, 0)</f>
        <v>0</v>
      </c>
      <c r="AR195">
        <f t="shared" ref="AR195:AR232" si="108">IF(ISNUMBER(FIND("MDRD", $AP195)), 1, 0)</f>
        <v>0</v>
      </c>
      <c r="AS195">
        <f t="shared" ref="AS195:AS232" si="109">IF(ISNUMBER(FIND("Institutional standard", $AP195)), 1, 0)</f>
        <v>1</v>
      </c>
      <c r="AT195">
        <f t="shared" ref="AT195:AT232" si="110">IF(ISNUMBER(FIND("Heterogenous", $AP195)), 1, 0)</f>
        <v>0</v>
      </c>
      <c r="AU195">
        <f t="shared" ref="AU195:AU232" si="111">IF(ISNUMBER(FIND("n/a", $AP195)), 1, 0)</f>
        <v>0</v>
      </c>
    </row>
    <row r="196" spans="1:47" x14ac:dyDescent="0.2">
      <c r="A196" t="s">
        <v>226</v>
      </c>
      <c r="B196">
        <v>2023</v>
      </c>
      <c r="C196">
        <v>2015</v>
      </c>
      <c r="D196" t="s">
        <v>264</v>
      </c>
      <c r="E196">
        <v>1</v>
      </c>
      <c r="F196">
        <v>0</v>
      </c>
      <c r="G196">
        <v>0</v>
      </c>
      <c r="H196">
        <v>763</v>
      </c>
      <c r="I196">
        <v>13</v>
      </c>
      <c r="J196">
        <f t="shared" si="84"/>
        <v>1.7038007863695936</v>
      </c>
      <c r="K196">
        <v>485</v>
      </c>
      <c r="L196">
        <v>265</v>
      </c>
      <c r="M196">
        <v>554</v>
      </c>
      <c r="N196" t="s">
        <v>56</v>
      </c>
      <c r="O196">
        <f t="shared" si="85"/>
        <v>0</v>
      </c>
      <c r="P196">
        <f t="shared" si="86"/>
        <v>1</v>
      </c>
      <c r="Q196">
        <f t="shared" si="87"/>
        <v>0</v>
      </c>
      <c r="R196">
        <f t="shared" si="88"/>
        <v>0</v>
      </c>
      <c r="S196">
        <f t="shared" si="89"/>
        <v>0</v>
      </c>
      <c r="T196">
        <f t="shared" si="90"/>
        <v>0</v>
      </c>
      <c r="U196">
        <f t="shared" si="91"/>
        <v>0</v>
      </c>
      <c r="V196">
        <f t="shared" si="92"/>
        <v>0</v>
      </c>
      <c r="W196" t="str">
        <f>VLOOKUP(A196,[2]!Table2[[NCT Number]:[Intervention type]],11,FALSE)</f>
        <v>immunotherapy</v>
      </c>
      <c r="X196">
        <f t="shared" si="93"/>
        <v>1</v>
      </c>
      <c r="Y196">
        <f t="shared" si="94"/>
        <v>0</v>
      </c>
      <c r="Z196">
        <f t="shared" si="95"/>
        <v>0</v>
      </c>
      <c r="AA196">
        <f t="shared" si="96"/>
        <v>0</v>
      </c>
      <c r="AB196">
        <f t="shared" si="97"/>
        <v>0</v>
      </c>
      <c r="AC196">
        <f t="shared" si="98"/>
        <v>0</v>
      </c>
      <c r="AD196">
        <f t="shared" si="99"/>
        <v>0</v>
      </c>
      <c r="AE196">
        <f t="shared" si="100"/>
        <v>0</v>
      </c>
      <c r="AF196">
        <f>IF(ISNUMBER(SEARCH("endocrine", W196)), 1, 0)</f>
        <v>0</v>
      </c>
      <c r="AG196" t="s">
        <v>15</v>
      </c>
      <c r="AH196" t="s">
        <v>10</v>
      </c>
      <c r="AI196" t="s">
        <v>263</v>
      </c>
      <c r="AJ196">
        <f t="shared" si="101"/>
        <v>0</v>
      </c>
      <c r="AK196">
        <f t="shared" si="102"/>
        <v>0</v>
      </c>
      <c r="AL196">
        <f t="shared" si="103"/>
        <v>0</v>
      </c>
      <c r="AM196">
        <f t="shared" si="104"/>
        <v>0</v>
      </c>
      <c r="AN196">
        <f t="shared" si="105"/>
        <v>1</v>
      </c>
      <c r="AO196">
        <f t="shared" si="106"/>
        <v>0</v>
      </c>
      <c r="AP196" t="s">
        <v>39</v>
      </c>
      <c r="AQ196">
        <f t="shared" si="107"/>
        <v>0</v>
      </c>
      <c r="AR196">
        <f t="shared" si="108"/>
        <v>0</v>
      </c>
      <c r="AS196">
        <f t="shared" si="109"/>
        <v>1</v>
      </c>
      <c r="AT196">
        <f t="shared" si="110"/>
        <v>0</v>
      </c>
      <c r="AU196">
        <f t="shared" si="111"/>
        <v>0</v>
      </c>
    </row>
    <row r="197" spans="1:47" x14ac:dyDescent="0.2">
      <c r="A197" t="s">
        <v>227</v>
      </c>
      <c r="B197">
        <v>2017</v>
      </c>
      <c r="C197">
        <v>2014</v>
      </c>
      <c r="D197" t="s">
        <v>264</v>
      </c>
      <c r="E197">
        <v>1</v>
      </c>
      <c r="F197">
        <v>0</v>
      </c>
      <c r="G197">
        <v>0</v>
      </c>
      <c r="H197">
        <v>768</v>
      </c>
      <c r="I197" t="s">
        <v>8</v>
      </c>
      <c r="J197" t="s">
        <v>8</v>
      </c>
      <c r="K197" t="s">
        <v>8</v>
      </c>
      <c r="L197" t="s">
        <v>8</v>
      </c>
      <c r="M197">
        <v>454</v>
      </c>
      <c r="N197" t="s">
        <v>56</v>
      </c>
      <c r="O197">
        <f t="shared" si="85"/>
        <v>0</v>
      </c>
      <c r="P197">
        <f t="shared" si="86"/>
        <v>1</v>
      </c>
      <c r="Q197">
        <f t="shared" si="87"/>
        <v>0</v>
      </c>
      <c r="R197">
        <f t="shared" si="88"/>
        <v>0</v>
      </c>
      <c r="S197">
        <f t="shared" si="89"/>
        <v>0</v>
      </c>
      <c r="T197">
        <f t="shared" si="90"/>
        <v>0</v>
      </c>
      <c r="U197">
        <f t="shared" si="91"/>
        <v>0</v>
      </c>
      <c r="V197">
        <f t="shared" si="92"/>
        <v>0</v>
      </c>
      <c r="W197" t="str">
        <f>VLOOKUP(A197,[2]!Table2[[NCT Number]:[Intervention type]],11,FALSE)</f>
        <v>Targeted therapy</v>
      </c>
      <c r="X197">
        <f t="shared" si="93"/>
        <v>0</v>
      </c>
      <c r="Y197">
        <f t="shared" si="94"/>
        <v>1</v>
      </c>
      <c r="Z197">
        <f t="shared" si="95"/>
        <v>0</v>
      </c>
      <c r="AA197">
        <f t="shared" si="96"/>
        <v>0</v>
      </c>
      <c r="AB197">
        <f t="shared" si="97"/>
        <v>0</v>
      </c>
      <c r="AC197">
        <f t="shared" si="98"/>
        <v>0</v>
      </c>
      <c r="AD197">
        <f t="shared" si="99"/>
        <v>0</v>
      </c>
      <c r="AE197">
        <f t="shared" si="100"/>
        <v>0</v>
      </c>
      <c r="AF197">
        <f>IF(ISNUMBER(SEARCH("endocrine", W197)), 1, 0)</f>
        <v>0</v>
      </c>
      <c r="AG197" t="s">
        <v>15</v>
      </c>
      <c r="AH197" t="s">
        <v>10</v>
      </c>
      <c r="AI197" t="s">
        <v>8</v>
      </c>
      <c r="AJ197">
        <f t="shared" si="101"/>
        <v>0</v>
      </c>
      <c r="AK197">
        <f t="shared" si="102"/>
        <v>0</v>
      </c>
      <c r="AL197">
        <f t="shared" si="103"/>
        <v>0</v>
      </c>
      <c r="AM197">
        <f t="shared" si="104"/>
        <v>0</v>
      </c>
      <c r="AN197">
        <f t="shared" si="105"/>
        <v>0</v>
      </c>
      <c r="AO197">
        <f t="shared" si="106"/>
        <v>1</v>
      </c>
      <c r="AP197" t="s">
        <v>8</v>
      </c>
      <c r="AQ197">
        <f t="shared" si="107"/>
        <v>0</v>
      </c>
      <c r="AR197">
        <f t="shared" si="108"/>
        <v>0</v>
      </c>
      <c r="AS197">
        <f t="shared" si="109"/>
        <v>0</v>
      </c>
      <c r="AT197">
        <f t="shared" si="110"/>
        <v>0</v>
      </c>
      <c r="AU197">
        <f t="shared" si="111"/>
        <v>1</v>
      </c>
    </row>
    <row r="198" spans="1:47" x14ac:dyDescent="0.2">
      <c r="A198" t="s">
        <v>228</v>
      </c>
      <c r="B198">
        <v>2023</v>
      </c>
      <c r="C198">
        <v>2019</v>
      </c>
      <c r="D198" t="s">
        <v>266</v>
      </c>
      <c r="E198">
        <v>0</v>
      </c>
      <c r="F198">
        <v>0</v>
      </c>
      <c r="G198">
        <v>1</v>
      </c>
      <c r="H198">
        <v>770</v>
      </c>
      <c r="I198">
        <v>22</v>
      </c>
      <c r="J198">
        <f t="shared" si="84"/>
        <v>2.8571428571428572</v>
      </c>
      <c r="K198">
        <v>255</v>
      </c>
      <c r="L198">
        <v>493</v>
      </c>
      <c r="M198">
        <v>0</v>
      </c>
      <c r="N198" t="s">
        <v>44</v>
      </c>
      <c r="O198">
        <f t="shared" si="85"/>
        <v>0</v>
      </c>
      <c r="P198">
        <f t="shared" si="86"/>
        <v>1</v>
      </c>
      <c r="Q198">
        <f t="shared" si="87"/>
        <v>0</v>
      </c>
      <c r="R198">
        <f t="shared" si="88"/>
        <v>1</v>
      </c>
      <c r="S198">
        <f t="shared" si="89"/>
        <v>0</v>
      </c>
      <c r="T198">
        <f t="shared" si="90"/>
        <v>0</v>
      </c>
      <c r="U198">
        <f t="shared" si="91"/>
        <v>0</v>
      </c>
      <c r="V198">
        <f t="shared" si="92"/>
        <v>0</v>
      </c>
      <c r="W198" t="str">
        <f>VLOOKUP(A198,[2]!Table2[[NCT Number]:[Intervention type]],11,FALSE)</f>
        <v>immunotherapy</v>
      </c>
      <c r="X198">
        <f t="shared" si="93"/>
        <v>1</v>
      </c>
      <c r="Y198">
        <f t="shared" si="94"/>
        <v>0</v>
      </c>
      <c r="Z198">
        <f t="shared" si="95"/>
        <v>0</v>
      </c>
      <c r="AA198">
        <f t="shared" si="96"/>
        <v>0</v>
      </c>
      <c r="AB198">
        <f t="shared" si="97"/>
        <v>0</v>
      </c>
      <c r="AC198">
        <f t="shared" si="98"/>
        <v>0</v>
      </c>
      <c r="AD198">
        <f t="shared" si="99"/>
        <v>0</v>
      </c>
      <c r="AE198">
        <f t="shared" si="100"/>
        <v>0</v>
      </c>
      <c r="AF198">
        <f>IF(ISNUMBER(SEARCH("endocrine", W198)), 1, 0)</f>
        <v>0</v>
      </c>
      <c r="AG198" t="s">
        <v>9</v>
      </c>
      <c r="AH198" t="s">
        <v>10</v>
      </c>
      <c r="AI198" t="s">
        <v>11</v>
      </c>
      <c r="AJ198">
        <f t="shared" si="101"/>
        <v>0</v>
      </c>
      <c r="AK198">
        <f t="shared" si="102"/>
        <v>1</v>
      </c>
      <c r="AL198">
        <f t="shared" si="103"/>
        <v>0</v>
      </c>
      <c r="AM198">
        <f t="shared" si="104"/>
        <v>0</v>
      </c>
      <c r="AN198">
        <f t="shared" si="105"/>
        <v>0</v>
      </c>
      <c r="AO198">
        <f t="shared" si="106"/>
        <v>0</v>
      </c>
      <c r="AP198" t="s">
        <v>12</v>
      </c>
      <c r="AQ198">
        <f t="shared" si="107"/>
        <v>1</v>
      </c>
      <c r="AR198">
        <f t="shared" si="108"/>
        <v>0</v>
      </c>
      <c r="AS198">
        <f t="shared" si="109"/>
        <v>0</v>
      </c>
      <c r="AT198">
        <f t="shared" si="110"/>
        <v>0</v>
      </c>
      <c r="AU198">
        <f t="shared" si="111"/>
        <v>0</v>
      </c>
    </row>
    <row r="199" spans="1:47" x14ac:dyDescent="0.2">
      <c r="A199" t="s">
        <v>229</v>
      </c>
      <c r="B199">
        <v>2021</v>
      </c>
      <c r="C199">
        <v>2017</v>
      </c>
      <c r="D199" t="s">
        <v>265</v>
      </c>
      <c r="E199">
        <v>0</v>
      </c>
      <c r="F199">
        <v>1</v>
      </c>
      <c r="G199">
        <v>0</v>
      </c>
      <c r="H199">
        <v>771</v>
      </c>
      <c r="I199">
        <v>15</v>
      </c>
      <c r="J199">
        <f t="shared" si="84"/>
        <v>1.9455252918287937</v>
      </c>
      <c r="K199">
        <v>577</v>
      </c>
      <c r="L199">
        <v>179</v>
      </c>
      <c r="M199">
        <v>771</v>
      </c>
      <c r="N199" t="s">
        <v>30</v>
      </c>
      <c r="O199">
        <f t="shared" si="85"/>
        <v>0</v>
      </c>
      <c r="P199">
        <f t="shared" si="86"/>
        <v>0</v>
      </c>
      <c r="Q199">
        <f t="shared" si="87"/>
        <v>1</v>
      </c>
      <c r="R199">
        <f t="shared" si="88"/>
        <v>0</v>
      </c>
      <c r="S199">
        <f t="shared" si="89"/>
        <v>0</v>
      </c>
      <c r="T199">
        <f t="shared" si="90"/>
        <v>0</v>
      </c>
      <c r="U199">
        <f t="shared" si="91"/>
        <v>0</v>
      </c>
      <c r="V199">
        <f t="shared" si="92"/>
        <v>0</v>
      </c>
      <c r="W199" t="str">
        <f>VLOOKUP(A199,[2]!Table2[[NCT Number]:[Intervention type]],11,FALSE)</f>
        <v>immunotherapy+targeted therapy</v>
      </c>
      <c r="X199">
        <f t="shared" si="93"/>
        <v>1</v>
      </c>
      <c r="Y199">
        <f t="shared" si="94"/>
        <v>1</v>
      </c>
      <c r="Z199">
        <f t="shared" si="95"/>
        <v>0</v>
      </c>
      <c r="AA199">
        <f t="shared" si="96"/>
        <v>0</v>
      </c>
      <c r="AB199">
        <f t="shared" si="97"/>
        <v>0</v>
      </c>
      <c r="AC199">
        <f t="shared" si="98"/>
        <v>1</v>
      </c>
      <c r="AD199">
        <f t="shared" si="99"/>
        <v>0</v>
      </c>
      <c r="AE199">
        <f t="shared" si="100"/>
        <v>0</v>
      </c>
      <c r="AF199">
        <f>IF(ISNUMBER(SEARCH("endocrine", W199)), 1, 0)</f>
        <v>0</v>
      </c>
      <c r="AG199" t="s">
        <v>9</v>
      </c>
      <c r="AH199" t="s">
        <v>10</v>
      </c>
      <c r="AI199" t="s">
        <v>11</v>
      </c>
      <c r="AJ199">
        <f t="shared" si="101"/>
        <v>0</v>
      </c>
      <c r="AK199">
        <f t="shared" si="102"/>
        <v>1</v>
      </c>
      <c r="AL199">
        <f t="shared" si="103"/>
        <v>0</v>
      </c>
      <c r="AM199">
        <f t="shared" si="104"/>
        <v>0</v>
      </c>
      <c r="AN199">
        <f t="shared" si="105"/>
        <v>0</v>
      </c>
      <c r="AO199">
        <f t="shared" si="106"/>
        <v>0</v>
      </c>
      <c r="AP199" t="s">
        <v>12</v>
      </c>
      <c r="AQ199">
        <f t="shared" si="107"/>
        <v>1</v>
      </c>
      <c r="AR199">
        <f t="shared" si="108"/>
        <v>0</v>
      </c>
      <c r="AS199">
        <f t="shared" si="109"/>
        <v>0</v>
      </c>
      <c r="AT199">
        <f t="shared" si="110"/>
        <v>0</v>
      </c>
      <c r="AU199">
        <f t="shared" si="111"/>
        <v>0</v>
      </c>
    </row>
    <row r="200" spans="1:47" x14ac:dyDescent="0.2">
      <c r="A200" t="s">
        <v>230</v>
      </c>
      <c r="B200">
        <v>2021</v>
      </c>
      <c r="C200">
        <v>2015</v>
      </c>
      <c r="D200" t="s">
        <v>264</v>
      </c>
      <c r="E200">
        <v>1</v>
      </c>
      <c r="F200">
        <v>0</v>
      </c>
      <c r="G200">
        <v>0</v>
      </c>
      <c r="H200">
        <v>781</v>
      </c>
      <c r="I200" t="s">
        <v>8</v>
      </c>
      <c r="J200" t="s">
        <v>8</v>
      </c>
      <c r="K200">
        <v>422</v>
      </c>
      <c r="L200">
        <v>147</v>
      </c>
      <c r="M200">
        <v>351</v>
      </c>
      <c r="N200" t="s">
        <v>18</v>
      </c>
      <c r="O200">
        <f t="shared" si="85"/>
        <v>0</v>
      </c>
      <c r="P200">
        <f t="shared" si="86"/>
        <v>0</v>
      </c>
      <c r="Q200">
        <f t="shared" si="87"/>
        <v>0</v>
      </c>
      <c r="R200">
        <f t="shared" si="88"/>
        <v>0</v>
      </c>
      <c r="S200">
        <f t="shared" si="89"/>
        <v>0</v>
      </c>
      <c r="T200">
        <f t="shared" si="90"/>
        <v>0</v>
      </c>
      <c r="U200">
        <f t="shared" si="91"/>
        <v>1</v>
      </c>
      <c r="V200">
        <f t="shared" si="92"/>
        <v>0</v>
      </c>
      <c r="W200" t="str">
        <f>VLOOKUP(A200,[2]!Table2[[NCT Number]:[Intervention type]],11,FALSE)</f>
        <v>immunotherapy</v>
      </c>
      <c r="X200">
        <f t="shared" si="93"/>
        <v>1</v>
      </c>
      <c r="Y200">
        <f t="shared" si="94"/>
        <v>0</v>
      </c>
      <c r="Z200">
        <f t="shared" si="95"/>
        <v>0</v>
      </c>
      <c r="AA200">
        <f t="shared" si="96"/>
        <v>0</v>
      </c>
      <c r="AB200">
        <f t="shared" si="97"/>
        <v>0</v>
      </c>
      <c r="AC200">
        <f t="shared" si="98"/>
        <v>0</v>
      </c>
      <c r="AD200">
        <f t="shared" si="99"/>
        <v>0</v>
      </c>
      <c r="AE200">
        <f t="shared" si="100"/>
        <v>0</v>
      </c>
      <c r="AF200">
        <f>IF(ISNUMBER(SEARCH("endocrine", W200)), 1, 0)</f>
        <v>0</v>
      </c>
      <c r="AG200" t="s">
        <v>15</v>
      </c>
      <c r="AH200" t="s">
        <v>10</v>
      </c>
      <c r="AI200" t="s">
        <v>11</v>
      </c>
      <c r="AJ200">
        <f t="shared" si="101"/>
        <v>0</v>
      </c>
      <c r="AK200">
        <f t="shared" si="102"/>
        <v>1</v>
      </c>
      <c r="AL200">
        <f t="shared" si="103"/>
        <v>0</v>
      </c>
      <c r="AM200">
        <f t="shared" si="104"/>
        <v>0</v>
      </c>
      <c r="AN200">
        <f t="shared" si="105"/>
        <v>0</v>
      </c>
      <c r="AO200">
        <f t="shared" si="106"/>
        <v>0</v>
      </c>
      <c r="AP200" t="s">
        <v>12</v>
      </c>
      <c r="AQ200">
        <f t="shared" si="107"/>
        <v>1</v>
      </c>
      <c r="AR200">
        <f t="shared" si="108"/>
        <v>0</v>
      </c>
      <c r="AS200">
        <f t="shared" si="109"/>
        <v>0</v>
      </c>
      <c r="AT200">
        <f t="shared" si="110"/>
        <v>0</v>
      </c>
      <c r="AU200">
        <f t="shared" si="111"/>
        <v>0</v>
      </c>
    </row>
    <row r="201" spans="1:47" x14ac:dyDescent="0.2">
      <c r="A201" t="s">
        <v>231</v>
      </c>
      <c r="B201">
        <v>2023</v>
      </c>
      <c r="C201">
        <v>2018</v>
      </c>
      <c r="D201" t="s">
        <v>265</v>
      </c>
      <c r="E201">
        <v>0</v>
      </c>
      <c r="F201">
        <v>1</v>
      </c>
      <c r="G201">
        <v>0</v>
      </c>
      <c r="H201">
        <v>783</v>
      </c>
      <c r="I201">
        <v>6</v>
      </c>
      <c r="J201">
        <f t="shared" si="84"/>
        <v>0.76628352490421459</v>
      </c>
      <c r="K201">
        <v>758</v>
      </c>
      <c r="L201">
        <v>19</v>
      </c>
      <c r="M201">
        <v>458</v>
      </c>
      <c r="N201" t="s">
        <v>21</v>
      </c>
      <c r="O201">
        <f t="shared" si="85"/>
        <v>0</v>
      </c>
      <c r="P201">
        <f t="shared" si="86"/>
        <v>0</v>
      </c>
      <c r="Q201">
        <f t="shared" si="87"/>
        <v>0</v>
      </c>
      <c r="R201">
        <f t="shared" si="88"/>
        <v>0</v>
      </c>
      <c r="S201">
        <f t="shared" si="89"/>
        <v>0</v>
      </c>
      <c r="T201">
        <f t="shared" si="90"/>
        <v>0</v>
      </c>
      <c r="U201">
        <f t="shared" si="91"/>
        <v>0</v>
      </c>
      <c r="V201">
        <f t="shared" si="92"/>
        <v>1</v>
      </c>
      <c r="W201" t="str">
        <f>VLOOKUP(A201,[2]!Table2[[NCT Number]:[Intervention type]],11,FALSE)</f>
        <v>immunotherapy</v>
      </c>
      <c r="X201">
        <f t="shared" si="93"/>
        <v>1</v>
      </c>
      <c r="Y201">
        <f t="shared" si="94"/>
        <v>0</v>
      </c>
      <c r="Z201">
        <f t="shared" si="95"/>
        <v>0</v>
      </c>
      <c r="AA201">
        <f t="shared" si="96"/>
        <v>0</v>
      </c>
      <c r="AB201">
        <f t="shared" si="97"/>
        <v>0</v>
      </c>
      <c r="AC201">
        <f t="shared" si="98"/>
        <v>0</v>
      </c>
      <c r="AD201">
        <f t="shared" si="99"/>
        <v>0</v>
      </c>
      <c r="AE201">
        <f t="shared" si="100"/>
        <v>0</v>
      </c>
      <c r="AF201">
        <f>IF(ISNUMBER(SEARCH("endocrine", W201)), 1, 0)</f>
        <v>0</v>
      </c>
      <c r="AG201" t="s">
        <v>9</v>
      </c>
      <c r="AH201" t="s">
        <v>10</v>
      </c>
      <c r="AI201" t="s">
        <v>263</v>
      </c>
      <c r="AJ201">
        <f t="shared" si="101"/>
        <v>0</v>
      </c>
      <c r="AK201">
        <f t="shared" si="102"/>
        <v>0</v>
      </c>
      <c r="AL201">
        <f t="shared" si="103"/>
        <v>0</v>
      </c>
      <c r="AM201">
        <f t="shared" si="104"/>
        <v>0</v>
      </c>
      <c r="AN201">
        <f t="shared" si="105"/>
        <v>1</v>
      </c>
      <c r="AO201">
        <f t="shared" si="106"/>
        <v>0</v>
      </c>
      <c r="AP201" t="s">
        <v>12</v>
      </c>
      <c r="AQ201">
        <f t="shared" si="107"/>
        <v>1</v>
      </c>
      <c r="AR201">
        <f t="shared" si="108"/>
        <v>0</v>
      </c>
      <c r="AS201">
        <f t="shared" si="109"/>
        <v>0</v>
      </c>
      <c r="AT201">
        <f t="shared" si="110"/>
        <v>0</v>
      </c>
      <c r="AU201">
        <f t="shared" si="111"/>
        <v>0</v>
      </c>
    </row>
    <row r="202" spans="1:47" x14ac:dyDescent="0.2">
      <c r="A202" t="s">
        <v>232</v>
      </c>
      <c r="B202">
        <v>2019</v>
      </c>
      <c r="C202">
        <v>2015</v>
      </c>
      <c r="D202" t="s">
        <v>264</v>
      </c>
      <c r="E202">
        <v>1</v>
      </c>
      <c r="F202">
        <v>0</v>
      </c>
      <c r="G202">
        <v>0</v>
      </c>
      <c r="H202">
        <v>792</v>
      </c>
      <c r="I202">
        <v>6</v>
      </c>
      <c r="J202">
        <f t="shared" si="84"/>
        <v>0.75757575757575757</v>
      </c>
      <c r="K202">
        <v>535</v>
      </c>
      <c r="L202">
        <v>251</v>
      </c>
      <c r="M202">
        <v>542</v>
      </c>
      <c r="N202" t="s">
        <v>18</v>
      </c>
      <c r="O202">
        <f t="shared" si="85"/>
        <v>0</v>
      </c>
      <c r="P202">
        <f t="shared" si="86"/>
        <v>0</v>
      </c>
      <c r="Q202">
        <f t="shared" si="87"/>
        <v>0</v>
      </c>
      <c r="R202">
        <f t="shared" si="88"/>
        <v>0</v>
      </c>
      <c r="S202">
        <f t="shared" si="89"/>
        <v>0</v>
      </c>
      <c r="T202">
        <f t="shared" si="90"/>
        <v>0</v>
      </c>
      <c r="U202">
        <f t="shared" si="91"/>
        <v>1</v>
      </c>
      <c r="V202">
        <f t="shared" si="92"/>
        <v>0</v>
      </c>
      <c r="W202" t="str">
        <f>VLOOKUP(A202,[2]!Table2[[NCT Number]:[Intervention type]],11,FALSE)</f>
        <v>immunotherapy</v>
      </c>
      <c r="X202">
        <f t="shared" si="93"/>
        <v>1</v>
      </c>
      <c r="Y202">
        <f t="shared" si="94"/>
        <v>0</v>
      </c>
      <c r="Z202">
        <f t="shared" si="95"/>
        <v>0</v>
      </c>
      <c r="AA202">
        <f t="shared" si="96"/>
        <v>0</v>
      </c>
      <c r="AB202">
        <f t="shared" si="97"/>
        <v>0</v>
      </c>
      <c r="AC202">
        <f t="shared" si="98"/>
        <v>0</v>
      </c>
      <c r="AD202">
        <f t="shared" si="99"/>
        <v>0</v>
      </c>
      <c r="AE202">
        <f t="shared" si="100"/>
        <v>0</v>
      </c>
      <c r="AF202">
        <f>IF(ISNUMBER(SEARCH("endocrine", W202)), 1, 0)</f>
        <v>0</v>
      </c>
      <c r="AG202" t="s">
        <v>15</v>
      </c>
      <c r="AH202" t="s">
        <v>10</v>
      </c>
      <c r="AI202" t="s">
        <v>11</v>
      </c>
      <c r="AJ202">
        <f t="shared" si="101"/>
        <v>0</v>
      </c>
      <c r="AK202">
        <f t="shared" si="102"/>
        <v>1</v>
      </c>
      <c r="AL202">
        <f t="shared" si="103"/>
        <v>0</v>
      </c>
      <c r="AM202">
        <f t="shared" si="104"/>
        <v>0</v>
      </c>
      <c r="AN202">
        <f t="shared" si="105"/>
        <v>0</v>
      </c>
      <c r="AO202">
        <f t="shared" si="106"/>
        <v>0</v>
      </c>
      <c r="AP202" t="s">
        <v>12</v>
      </c>
      <c r="AQ202">
        <f t="shared" si="107"/>
        <v>1</v>
      </c>
      <c r="AR202">
        <f t="shared" si="108"/>
        <v>0</v>
      </c>
      <c r="AS202">
        <f t="shared" si="109"/>
        <v>0</v>
      </c>
      <c r="AT202">
        <f t="shared" si="110"/>
        <v>0</v>
      </c>
      <c r="AU202">
        <f t="shared" si="111"/>
        <v>0</v>
      </c>
    </row>
    <row r="203" spans="1:47" x14ac:dyDescent="0.2">
      <c r="A203" t="s">
        <v>233</v>
      </c>
      <c r="B203">
        <v>2021</v>
      </c>
      <c r="C203">
        <v>2018</v>
      </c>
      <c r="D203" t="s">
        <v>265</v>
      </c>
      <c r="E203">
        <v>0</v>
      </c>
      <c r="F203">
        <v>1</v>
      </c>
      <c r="G203">
        <v>0</v>
      </c>
      <c r="H203">
        <v>794</v>
      </c>
      <c r="I203">
        <v>1</v>
      </c>
      <c r="J203">
        <f t="shared" si="84"/>
        <v>0.12594458438287154</v>
      </c>
      <c r="K203">
        <v>578</v>
      </c>
      <c r="L203">
        <v>215</v>
      </c>
      <c r="M203">
        <v>0</v>
      </c>
      <c r="N203" t="s">
        <v>46</v>
      </c>
      <c r="O203">
        <f t="shared" si="85"/>
        <v>1</v>
      </c>
      <c r="P203">
        <f t="shared" si="86"/>
        <v>0</v>
      </c>
      <c r="Q203">
        <f t="shared" si="87"/>
        <v>0</v>
      </c>
      <c r="R203">
        <f t="shared" si="88"/>
        <v>0</v>
      </c>
      <c r="S203">
        <f t="shared" si="89"/>
        <v>0</v>
      </c>
      <c r="T203">
        <f t="shared" si="90"/>
        <v>0</v>
      </c>
      <c r="U203">
        <f t="shared" si="91"/>
        <v>0</v>
      </c>
      <c r="V203">
        <f t="shared" si="92"/>
        <v>0</v>
      </c>
      <c r="W203" t="str">
        <f>VLOOKUP(A203,[2]!Table2[[NCT Number]:[Intervention type]],11,FALSE)</f>
        <v>immunotherapy</v>
      </c>
      <c r="X203">
        <f t="shared" si="93"/>
        <v>1</v>
      </c>
      <c r="Y203">
        <f t="shared" si="94"/>
        <v>0</v>
      </c>
      <c r="Z203">
        <f t="shared" si="95"/>
        <v>0</v>
      </c>
      <c r="AA203">
        <f t="shared" si="96"/>
        <v>0</v>
      </c>
      <c r="AB203">
        <f t="shared" si="97"/>
        <v>0</v>
      </c>
      <c r="AC203">
        <f t="shared" si="98"/>
        <v>0</v>
      </c>
      <c r="AD203">
        <f t="shared" si="99"/>
        <v>0</v>
      </c>
      <c r="AE203">
        <f t="shared" si="100"/>
        <v>0</v>
      </c>
      <c r="AF203">
        <f>IF(ISNUMBER(SEARCH("endocrine", W203)), 1, 0)</f>
        <v>0</v>
      </c>
      <c r="AG203" t="s">
        <v>15</v>
      </c>
      <c r="AH203" t="s">
        <v>10</v>
      </c>
      <c r="AI203" t="s">
        <v>11</v>
      </c>
      <c r="AJ203">
        <f t="shared" si="101"/>
        <v>0</v>
      </c>
      <c r="AK203">
        <f t="shared" si="102"/>
        <v>1</v>
      </c>
      <c r="AL203">
        <f t="shared" si="103"/>
        <v>0</v>
      </c>
      <c r="AM203">
        <f t="shared" si="104"/>
        <v>0</v>
      </c>
      <c r="AN203">
        <f t="shared" si="105"/>
        <v>0</v>
      </c>
      <c r="AO203">
        <f t="shared" si="106"/>
        <v>0</v>
      </c>
      <c r="AP203" t="s">
        <v>12</v>
      </c>
      <c r="AQ203">
        <f t="shared" si="107"/>
        <v>1</v>
      </c>
      <c r="AR203">
        <f t="shared" si="108"/>
        <v>0</v>
      </c>
      <c r="AS203">
        <f t="shared" si="109"/>
        <v>0</v>
      </c>
      <c r="AT203">
        <f t="shared" si="110"/>
        <v>0</v>
      </c>
      <c r="AU203">
        <f t="shared" si="111"/>
        <v>0</v>
      </c>
    </row>
    <row r="204" spans="1:47" x14ac:dyDescent="0.2">
      <c r="A204" t="s">
        <v>234</v>
      </c>
      <c r="B204">
        <v>2022</v>
      </c>
      <c r="C204">
        <v>2015</v>
      </c>
      <c r="D204" t="s">
        <v>264</v>
      </c>
      <c r="E204">
        <v>1</v>
      </c>
      <c r="F204">
        <v>0</v>
      </c>
      <c r="G204">
        <v>0</v>
      </c>
      <c r="H204">
        <v>802</v>
      </c>
      <c r="I204">
        <v>0</v>
      </c>
      <c r="J204">
        <f t="shared" si="84"/>
        <v>0</v>
      </c>
      <c r="K204">
        <v>0</v>
      </c>
      <c r="L204">
        <v>802</v>
      </c>
      <c r="M204">
        <v>520</v>
      </c>
      <c r="N204" t="s">
        <v>56</v>
      </c>
      <c r="O204">
        <f t="shared" si="85"/>
        <v>0</v>
      </c>
      <c r="P204">
        <f t="shared" si="86"/>
        <v>1</v>
      </c>
      <c r="Q204">
        <f t="shared" si="87"/>
        <v>0</v>
      </c>
      <c r="R204">
        <f t="shared" si="88"/>
        <v>0</v>
      </c>
      <c r="S204">
        <f t="shared" si="89"/>
        <v>0</v>
      </c>
      <c r="T204">
        <f t="shared" si="90"/>
        <v>0</v>
      </c>
      <c r="U204">
        <f t="shared" si="91"/>
        <v>0</v>
      </c>
      <c r="V204">
        <f t="shared" si="92"/>
        <v>0</v>
      </c>
      <c r="W204" t="str">
        <f>VLOOKUP(A204,[2]!Table2[[NCT Number]:[Intervention type]],11,FALSE)</f>
        <v>Targeted therapy+chemo</v>
      </c>
      <c r="X204">
        <f t="shared" si="93"/>
        <v>0</v>
      </c>
      <c r="Y204">
        <f t="shared" si="94"/>
        <v>1</v>
      </c>
      <c r="Z204">
        <f t="shared" si="95"/>
        <v>0</v>
      </c>
      <c r="AA204">
        <f t="shared" si="96"/>
        <v>0</v>
      </c>
      <c r="AB204">
        <f t="shared" si="97"/>
        <v>0</v>
      </c>
      <c r="AC204">
        <f t="shared" si="98"/>
        <v>0</v>
      </c>
      <c r="AD204">
        <f t="shared" si="99"/>
        <v>1</v>
      </c>
      <c r="AE204">
        <f t="shared" si="100"/>
        <v>0</v>
      </c>
      <c r="AF204">
        <f>IF(ISNUMBER(SEARCH("endocrine", W204)), 1, 0)</f>
        <v>0</v>
      </c>
      <c r="AG204" t="s">
        <v>9</v>
      </c>
      <c r="AH204" t="s">
        <v>10</v>
      </c>
      <c r="AI204" t="s">
        <v>42</v>
      </c>
      <c r="AJ204">
        <f t="shared" si="101"/>
        <v>0</v>
      </c>
      <c r="AK204">
        <f t="shared" si="102"/>
        <v>0</v>
      </c>
      <c r="AL204">
        <f t="shared" si="103"/>
        <v>1</v>
      </c>
      <c r="AM204">
        <f t="shared" si="104"/>
        <v>0</v>
      </c>
      <c r="AN204">
        <f t="shared" si="105"/>
        <v>0</v>
      </c>
      <c r="AO204">
        <f t="shared" si="106"/>
        <v>0</v>
      </c>
      <c r="AP204" t="s">
        <v>8</v>
      </c>
      <c r="AQ204">
        <f t="shared" si="107"/>
        <v>0</v>
      </c>
      <c r="AR204">
        <f t="shared" si="108"/>
        <v>0</v>
      </c>
      <c r="AS204">
        <f t="shared" si="109"/>
        <v>0</v>
      </c>
      <c r="AT204">
        <f t="shared" si="110"/>
        <v>0</v>
      </c>
      <c r="AU204">
        <f t="shared" si="111"/>
        <v>1</v>
      </c>
    </row>
    <row r="205" spans="1:47" x14ac:dyDescent="0.2">
      <c r="A205" t="s">
        <v>235</v>
      </c>
      <c r="B205">
        <v>2023</v>
      </c>
      <c r="C205">
        <v>2015</v>
      </c>
      <c r="D205" t="s">
        <v>264</v>
      </c>
      <c r="E205">
        <v>1</v>
      </c>
      <c r="F205">
        <v>0</v>
      </c>
      <c r="G205">
        <v>0</v>
      </c>
      <c r="H205">
        <v>815</v>
      </c>
      <c r="I205">
        <v>14</v>
      </c>
      <c r="J205">
        <f t="shared" si="84"/>
        <v>1.7177914110429449</v>
      </c>
      <c r="K205">
        <v>602</v>
      </c>
      <c r="L205">
        <v>199</v>
      </c>
      <c r="M205">
        <v>473</v>
      </c>
      <c r="N205" t="s">
        <v>6</v>
      </c>
      <c r="O205">
        <f t="shared" si="85"/>
        <v>0</v>
      </c>
      <c r="P205">
        <f t="shared" si="86"/>
        <v>1</v>
      </c>
      <c r="Q205">
        <f t="shared" si="87"/>
        <v>0</v>
      </c>
      <c r="R205">
        <f t="shared" si="88"/>
        <v>0</v>
      </c>
      <c r="S205">
        <f t="shared" si="89"/>
        <v>0</v>
      </c>
      <c r="T205">
        <f t="shared" si="90"/>
        <v>1</v>
      </c>
      <c r="U205">
        <f t="shared" si="91"/>
        <v>0</v>
      </c>
      <c r="V205">
        <f t="shared" si="92"/>
        <v>0</v>
      </c>
      <c r="W205" t="str">
        <f>VLOOKUP(A205,[2]!Table2[[NCT Number]:[Intervention type]],11,FALSE)</f>
        <v>Targeted therapy</v>
      </c>
      <c r="X205">
        <f t="shared" si="93"/>
        <v>0</v>
      </c>
      <c r="Y205">
        <f t="shared" si="94"/>
        <v>1</v>
      </c>
      <c r="Z205">
        <f t="shared" si="95"/>
        <v>0</v>
      </c>
      <c r="AA205">
        <f t="shared" si="96"/>
        <v>0</v>
      </c>
      <c r="AB205">
        <f t="shared" si="97"/>
        <v>0</v>
      </c>
      <c r="AC205">
        <f t="shared" si="98"/>
        <v>0</v>
      </c>
      <c r="AD205">
        <f t="shared" si="99"/>
        <v>0</v>
      </c>
      <c r="AE205">
        <f t="shared" si="100"/>
        <v>0</v>
      </c>
      <c r="AF205">
        <f>IF(ISNUMBER(SEARCH("endocrine", W205)), 1, 0)</f>
        <v>0</v>
      </c>
      <c r="AG205" t="s">
        <v>15</v>
      </c>
      <c r="AH205" t="s">
        <v>10</v>
      </c>
      <c r="AI205" t="s">
        <v>11</v>
      </c>
      <c r="AJ205">
        <f t="shared" si="101"/>
        <v>0</v>
      </c>
      <c r="AK205">
        <f t="shared" si="102"/>
        <v>1</v>
      </c>
      <c r="AL205">
        <f t="shared" si="103"/>
        <v>0</v>
      </c>
      <c r="AM205">
        <f t="shared" si="104"/>
        <v>0</v>
      </c>
      <c r="AN205">
        <f t="shared" si="105"/>
        <v>0</v>
      </c>
      <c r="AO205">
        <f t="shared" si="106"/>
        <v>0</v>
      </c>
      <c r="AP205" t="s">
        <v>86</v>
      </c>
      <c r="AQ205">
        <f t="shared" si="107"/>
        <v>0</v>
      </c>
      <c r="AR205">
        <f t="shared" si="108"/>
        <v>0</v>
      </c>
      <c r="AS205">
        <f t="shared" si="109"/>
        <v>0</v>
      </c>
      <c r="AT205">
        <f t="shared" si="110"/>
        <v>1</v>
      </c>
      <c r="AU205">
        <f t="shared" si="111"/>
        <v>0</v>
      </c>
    </row>
    <row r="206" spans="1:47" x14ac:dyDescent="0.2">
      <c r="A206" t="s">
        <v>236</v>
      </c>
      <c r="B206">
        <v>2021</v>
      </c>
      <c r="C206">
        <v>2015</v>
      </c>
      <c r="D206" t="s">
        <v>264</v>
      </c>
      <c r="E206">
        <v>1</v>
      </c>
      <c r="F206">
        <v>0</v>
      </c>
      <c r="G206">
        <v>0</v>
      </c>
      <c r="H206">
        <v>823</v>
      </c>
      <c r="I206">
        <v>10</v>
      </c>
      <c r="J206">
        <f t="shared" si="84"/>
        <v>1.2150668286755772</v>
      </c>
      <c r="K206">
        <v>603</v>
      </c>
      <c r="L206">
        <v>210</v>
      </c>
      <c r="M206">
        <v>689</v>
      </c>
      <c r="N206" t="s">
        <v>35</v>
      </c>
      <c r="O206">
        <f t="shared" si="85"/>
        <v>0</v>
      </c>
      <c r="P206">
        <f t="shared" si="86"/>
        <v>0</v>
      </c>
      <c r="Q206">
        <f t="shared" si="87"/>
        <v>0</v>
      </c>
      <c r="R206">
        <f t="shared" si="88"/>
        <v>0</v>
      </c>
      <c r="S206">
        <f t="shared" si="89"/>
        <v>1</v>
      </c>
      <c r="T206">
        <f t="shared" si="90"/>
        <v>0</v>
      </c>
      <c r="U206">
        <f t="shared" si="91"/>
        <v>0</v>
      </c>
      <c r="V206">
        <f t="shared" si="92"/>
        <v>0</v>
      </c>
      <c r="W206" t="str">
        <f>VLOOKUP(A206,[2]!Table2[[NCT Number]:[Intervention type]],11,FALSE)</f>
        <v>immunotherapy</v>
      </c>
      <c r="X206">
        <f t="shared" si="93"/>
        <v>1</v>
      </c>
      <c r="Y206">
        <f t="shared" si="94"/>
        <v>0</v>
      </c>
      <c r="Z206">
        <f t="shared" si="95"/>
        <v>0</v>
      </c>
      <c r="AA206">
        <f t="shared" si="96"/>
        <v>0</v>
      </c>
      <c r="AB206">
        <f t="shared" si="97"/>
        <v>0</v>
      </c>
      <c r="AC206">
        <f t="shared" si="98"/>
        <v>0</v>
      </c>
      <c r="AD206">
        <f t="shared" si="99"/>
        <v>0</v>
      </c>
      <c r="AE206">
        <f t="shared" si="100"/>
        <v>0</v>
      </c>
      <c r="AF206">
        <f>IF(ISNUMBER(SEARCH("endocrine", W206)), 1, 0)</f>
        <v>0</v>
      </c>
      <c r="AG206" t="s">
        <v>9</v>
      </c>
      <c r="AH206" t="s">
        <v>10</v>
      </c>
      <c r="AI206" t="s">
        <v>11</v>
      </c>
      <c r="AJ206">
        <f t="shared" si="101"/>
        <v>0</v>
      </c>
      <c r="AK206">
        <f t="shared" si="102"/>
        <v>1</v>
      </c>
      <c r="AL206">
        <f t="shared" si="103"/>
        <v>0</v>
      </c>
      <c r="AM206">
        <f t="shared" si="104"/>
        <v>0</v>
      </c>
      <c r="AN206">
        <f t="shared" si="105"/>
        <v>0</v>
      </c>
      <c r="AO206">
        <f t="shared" si="106"/>
        <v>0</v>
      </c>
      <c r="AP206" t="s">
        <v>12</v>
      </c>
      <c r="AQ206">
        <f t="shared" si="107"/>
        <v>1</v>
      </c>
      <c r="AR206">
        <f t="shared" si="108"/>
        <v>0</v>
      </c>
      <c r="AS206">
        <f t="shared" si="109"/>
        <v>0</v>
      </c>
      <c r="AT206">
        <f t="shared" si="110"/>
        <v>0</v>
      </c>
      <c r="AU206">
        <f t="shared" si="111"/>
        <v>0</v>
      </c>
    </row>
    <row r="207" spans="1:47" x14ac:dyDescent="0.2">
      <c r="A207" t="s">
        <v>237</v>
      </c>
      <c r="B207">
        <v>2023</v>
      </c>
      <c r="C207">
        <v>2014</v>
      </c>
      <c r="D207" t="s">
        <v>264</v>
      </c>
      <c r="E207">
        <v>1</v>
      </c>
      <c r="F207">
        <v>0</v>
      </c>
      <c r="G207">
        <v>0</v>
      </c>
      <c r="H207">
        <v>866</v>
      </c>
      <c r="I207">
        <v>12</v>
      </c>
      <c r="J207">
        <f t="shared" si="84"/>
        <v>1.3856812933025404</v>
      </c>
      <c r="K207">
        <v>672</v>
      </c>
      <c r="L207">
        <v>182</v>
      </c>
      <c r="M207">
        <v>481</v>
      </c>
      <c r="N207" t="s">
        <v>56</v>
      </c>
      <c r="O207">
        <f t="shared" si="85"/>
        <v>0</v>
      </c>
      <c r="P207">
        <f t="shared" si="86"/>
        <v>1</v>
      </c>
      <c r="Q207">
        <f t="shared" si="87"/>
        <v>0</v>
      </c>
      <c r="R207">
        <f t="shared" si="88"/>
        <v>0</v>
      </c>
      <c r="S207">
        <f t="shared" si="89"/>
        <v>0</v>
      </c>
      <c r="T207">
        <f t="shared" si="90"/>
        <v>0</v>
      </c>
      <c r="U207">
        <f t="shared" si="91"/>
        <v>0</v>
      </c>
      <c r="V207">
        <f t="shared" si="92"/>
        <v>0</v>
      </c>
      <c r="W207" t="str">
        <f>VLOOKUP(A207,[2]!Table2[[NCT Number]:[Intervention type]],11,FALSE)</f>
        <v>chemotherapy</v>
      </c>
      <c r="X207">
        <f t="shared" si="93"/>
        <v>0</v>
      </c>
      <c r="Y207">
        <f t="shared" si="94"/>
        <v>0</v>
      </c>
      <c r="Z207">
        <f t="shared" si="95"/>
        <v>1</v>
      </c>
      <c r="AA207">
        <f t="shared" si="96"/>
        <v>0</v>
      </c>
      <c r="AB207">
        <f t="shared" si="97"/>
        <v>0</v>
      </c>
      <c r="AC207">
        <f t="shared" si="98"/>
        <v>0</v>
      </c>
      <c r="AD207">
        <f t="shared" si="99"/>
        <v>0</v>
      </c>
      <c r="AE207">
        <f t="shared" si="100"/>
        <v>0</v>
      </c>
      <c r="AF207">
        <f>IF(ISNUMBER(SEARCH("endocrine", W207)), 1, 0)</f>
        <v>0</v>
      </c>
      <c r="AG207" t="s">
        <v>9</v>
      </c>
      <c r="AH207" t="s">
        <v>10</v>
      </c>
      <c r="AI207" t="s">
        <v>11</v>
      </c>
      <c r="AJ207">
        <f t="shared" si="101"/>
        <v>0</v>
      </c>
      <c r="AK207">
        <f t="shared" si="102"/>
        <v>1</v>
      </c>
      <c r="AL207">
        <f t="shared" si="103"/>
        <v>0</v>
      </c>
      <c r="AM207">
        <f t="shared" si="104"/>
        <v>0</v>
      </c>
      <c r="AN207">
        <f t="shared" si="105"/>
        <v>0</v>
      </c>
      <c r="AO207">
        <f t="shared" si="106"/>
        <v>0</v>
      </c>
      <c r="AP207" t="s">
        <v>12</v>
      </c>
      <c r="AQ207">
        <f t="shared" si="107"/>
        <v>1</v>
      </c>
      <c r="AR207">
        <f t="shared" si="108"/>
        <v>0</v>
      </c>
      <c r="AS207">
        <f t="shared" si="109"/>
        <v>0</v>
      </c>
      <c r="AT207">
        <f t="shared" si="110"/>
        <v>0</v>
      </c>
      <c r="AU207">
        <f t="shared" si="111"/>
        <v>0</v>
      </c>
    </row>
    <row r="208" spans="1:47" x14ac:dyDescent="0.2">
      <c r="A208" t="s">
        <v>238</v>
      </c>
      <c r="B208">
        <v>2022</v>
      </c>
      <c r="C208">
        <v>2017</v>
      </c>
      <c r="D208" t="s">
        <v>265</v>
      </c>
      <c r="E208">
        <v>0</v>
      </c>
      <c r="F208">
        <v>1</v>
      </c>
      <c r="G208">
        <v>0</v>
      </c>
      <c r="H208">
        <v>867</v>
      </c>
      <c r="I208">
        <v>2</v>
      </c>
      <c r="J208">
        <f t="shared" si="84"/>
        <v>0.23068050749711649</v>
      </c>
      <c r="K208">
        <v>508</v>
      </c>
      <c r="L208">
        <v>95</v>
      </c>
      <c r="M208">
        <v>694</v>
      </c>
      <c r="N208" t="s">
        <v>30</v>
      </c>
      <c r="O208">
        <f t="shared" si="85"/>
        <v>0</v>
      </c>
      <c r="P208">
        <f t="shared" si="86"/>
        <v>0</v>
      </c>
      <c r="Q208">
        <f t="shared" si="87"/>
        <v>1</v>
      </c>
      <c r="R208">
        <f t="shared" si="88"/>
        <v>0</v>
      </c>
      <c r="S208">
        <f t="shared" si="89"/>
        <v>0</v>
      </c>
      <c r="T208">
        <f t="shared" si="90"/>
        <v>0</v>
      </c>
      <c r="U208">
        <f t="shared" si="91"/>
        <v>0</v>
      </c>
      <c r="V208">
        <f t="shared" si="92"/>
        <v>0</v>
      </c>
      <c r="W208" t="str">
        <f>VLOOKUP(A208,[2]!Table2[[NCT Number]:[Intervention type]],11,FALSE)</f>
        <v>immunotherapy</v>
      </c>
      <c r="X208">
        <f t="shared" si="93"/>
        <v>1</v>
      </c>
      <c r="Y208">
        <f t="shared" si="94"/>
        <v>0</v>
      </c>
      <c r="Z208">
        <f t="shared" si="95"/>
        <v>0</v>
      </c>
      <c r="AA208">
        <f t="shared" si="96"/>
        <v>0</v>
      </c>
      <c r="AB208">
        <f t="shared" si="97"/>
        <v>0</v>
      </c>
      <c r="AC208">
        <f t="shared" si="98"/>
        <v>0</v>
      </c>
      <c r="AD208">
        <f t="shared" si="99"/>
        <v>0</v>
      </c>
      <c r="AE208">
        <f t="shared" si="100"/>
        <v>0</v>
      </c>
      <c r="AF208">
        <f>IF(ISNUMBER(SEARCH("endocrine", W208)), 1, 0)</f>
        <v>0</v>
      </c>
      <c r="AG208" t="s">
        <v>9</v>
      </c>
      <c r="AH208" t="s">
        <v>10</v>
      </c>
      <c r="AI208" t="s">
        <v>11</v>
      </c>
      <c r="AJ208">
        <f t="shared" si="101"/>
        <v>0</v>
      </c>
      <c r="AK208">
        <f t="shared" si="102"/>
        <v>1</v>
      </c>
      <c r="AL208">
        <f t="shared" si="103"/>
        <v>0</v>
      </c>
      <c r="AM208">
        <f t="shared" si="104"/>
        <v>0</v>
      </c>
      <c r="AN208">
        <f t="shared" si="105"/>
        <v>0</v>
      </c>
      <c r="AO208">
        <f t="shared" si="106"/>
        <v>0</v>
      </c>
      <c r="AP208" t="s">
        <v>12</v>
      </c>
      <c r="AQ208">
        <f t="shared" si="107"/>
        <v>1</v>
      </c>
      <c r="AR208">
        <f t="shared" si="108"/>
        <v>0</v>
      </c>
      <c r="AS208">
        <f t="shared" si="109"/>
        <v>0</v>
      </c>
      <c r="AT208">
        <f t="shared" si="110"/>
        <v>0</v>
      </c>
      <c r="AU208">
        <f t="shared" si="111"/>
        <v>0</v>
      </c>
    </row>
    <row r="209" spans="1:47" x14ac:dyDescent="0.2">
      <c r="A209" t="s">
        <v>239</v>
      </c>
      <c r="B209">
        <v>2017</v>
      </c>
      <c r="C209">
        <v>2014</v>
      </c>
      <c r="D209" t="s">
        <v>264</v>
      </c>
      <c r="E209">
        <v>1</v>
      </c>
      <c r="F209">
        <v>0</v>
      </c>
      <c r="G209">
        <v>0</v>
      </c>
      <c r="H209">
        <v>875</v>
      </c>
      <c r="I209" t="s">
        <v>8</v>
      </c>
      <c r="J209" t="s">
        <v>8</v>
      </c>
      <c r="K209" t="s">
        <v>8</v>
      </c>
      <c r="L209" t="s">
        <v>8</v>
      </c>
      <c r="M209">
        <v>0</v>
      </c>
      <c r="N209" t="s">
        <v>46</v>
      </c>
      <c r="O209">
        <f t="shared" si="85"/>
        <v>1</v>
      </c>
      <c r="P209">
        <f t="shared" si="86"/>
        <v>0</v>
      </c>
      <c r="Q209">
        <f t="shared" si="87"/>
        <v>0</v>
      </c>
      <c r="R209">
        <f t="shared" si="88"/>
        <v>0</v>
      </c>
      <c r="S209">
        <f t="shared" si="89"/>
        <v>0</v>
      </c>
      <c r="T209">
        <f t="shared" si="90"/>
        <v>0</v>
      </c>
      <c r="U209">
        <f t="shared" si="91"/>
        <v>0</v>
      </c>
      <c r="V209">
        <f t="shared" si="92"/>
        <v>0</v>
      </c>
      <c r="W209" t="str">
        <f>VLOOKUP(A209,[2]!Table2[[NCT Number]:[Intervention type]],11,FALSE)</f>
        <v>Targeted therapy</v>
      </c>
      <c r="X209">
        <f t="shared" si="93"/>
        <v>0</v>
      </c>
      <c r="Y209">
        <f t="shared" si="94"/>
        <v>1</v>
      </c>
      <c r="Z209">
        <f t="shared" si="95"/>
        <v>0</v>
      </c>
      <c r="AA209">
        <f t="shared" si="96"/>
        <v>0</v>
      </c>
      <c r="AB209">
        <f t="shared" si="97"/>
        <v>0</v>
      </c>
      <c r="AC209">
        <f t="shared" si="98"/>
        <v>0</v>
      </c>
      <c r="AD209">
        <f t="shared" si="99"/>
        <v>0</v>
      </c>
      <c r="AE209">
        <f t="shared" si="100"/>
        <v>0</v>
      </c>
      <c r="AF209">
        <f>IF(ISNUMBER(SEARCH("endocrine", W209)), 1, 0)</f>
        <v>0</v>
      </c>
      <c r="AG209" t="s">
        <v>15</v>
      </c>
      <c r="AH209" t="s">
        <v>10</v>
      </c>
      <c r="AI209" t="s">
        <v>42</v>
      </c>
      <c r="AJ209">
        <f t="shared" si="101"/>
        <v>0</v>
      </c>
      <c r="AK209">
        <f t="shared" si="102"/>
        <v>0</v>
      </c>
      <c r="AL209">
        <f t="shared" si="103"/>
        <v>1</v>
      </c>
      <c r="AM209">
        <f t="shared" si="104"/>
        <v>0</v>
      </c>
      <c r="AN209">
        <f t="shared" si="105"/>
        <v>0</v>
      </c>
      <c r="AO209">
        <f t="shared" si="106"/>
        <v>0</v>
      </c>
      <c r="AP209" t="s">
        <v>8</v>
      </c>
      <c r="AQ209">
        <f t="shared" si="107"/>
        <v>0</v>
      </c>
      <c r="AR209">
        <f t="shared" si="108"/>
        <v>0</v>
      </c>
      <c r="AS209">
        <f t="shared" si="109"/>
        <v>0</v>
      </c>
      <c r="AT209">
        <f t="shared" si="110"/>
        <v>0</v>
      </c>
      <c r="AU209">
        <f t="shared" si="111"/>
        <v>1</v>
      </c>
    </row>
    <row r="210" spans="1:47" x14ac:dyDescent="0.2">
      <c r="A210" t="s">
        <v>240</v>
      </c>
      <c r="B210">
        <v>2023</v>
      </c>
      <c r="C210">
        <v>2015</v>
      </c>
      <c r="D210" t="s">
        <v>264</v>
      </c>
      <c r="E210">
        <v>1</v>
      </c>
      <c r="F210">
        <v>0</v>
      </c>
      <c r="G210">
        <v>0</v>
      </c>
      <c r="H210">
        <v>882</v>
      </c>
      <c r="I210">
        <v>21</v>
      </c>
      <c r="J210">
        <f t="shared" si="84"/>
        <v>2.3809523809523809</v>
      </c>
      <c r="K210">
        <v>646</v>
      </c>
      <c r="L210">
        <v>215</v>
      </c>
      <c r="M210">
        <v>735</v>
      </c>
      <c r="N210" t="s">
        <v>35</v>
      </c>
      <c r="O210">
        <f t="shared" si="85"/>
        <v>0</v>
      </c>
      <c r="P210">
        <f t="shared" si="86"/>
        <v>0</v>
      </c>
      <c r="Q210">
        <f t="shared" si="87"/>
        <v>0</v>
      </c>
      <c r="R210">
        <f t="shared" si="88"/>
        <v>0</v>
      </c>
      <c r="S210">
        <f t="shared" si="89"/>
        <v>1</v>
      </c>
      <c r="T210">
        <f t="shared" si="90"/>
        <v>0</v>
      </c>
      <c r="U210">
        <f t="shared" si="91"/>
        <v>0</v>
      </c>
      <c r="V210">
        <f t="shared" si="92"/>
        <v>0</v>
      </c>
      <c r="W210" t="str">
        <f>VLOOKUP(A210,[2]!Table2[[NCT Number]:[Intervention type]],11,FALSE)</f>
        <v>immunotherapy+chemo</v>
      </c>
      <c r="X210">
        <f t="shared" si="93"/>
        <v>1</v>
      </c>
      <c r="Y210">
        <f t="shared" si="94"/>
        <v>0</v>
      </c>
      <c r="Z210">
        <f t="shared" si="95"/>
        <v>0</v>
      </c>
      <c r="AA210">
        <f t="shared" si="96"/>
        <v>0</v>
      </c>
      <c r="AB210">
        <f t="shared" si="97"/>
        <v>0</v>
      </c>
      <c r="AC210">
        <f t="shared" si="98"/>
        <v>0</v>
      </c>
      <c r="AD210">
        <f t="shared" si="99"/>
        <v>0</v>
      </c>
      <c r="AE210">
        <f t="shared" si="100"/>
        <v>1</v>
      </c>
      <c r="AF210">
        <f>IF(ISNUMBER(SEARCH("endocrine", W210)), 1, 0)</f>
        <v>0</v>
      </c>
      <c r="AG210" t="s">
        <v>9</v>
      </c>
      <c r="AH210" t="s">
        <v>10</v>
      </c>
      <c r="AI210" t="s">
        <v>263</v>
      </c>
      <c r="AJ210">
        <f t="shared" si="101"/>
        <v>0</v>
      </c>
      <c r="AK210">
        <f t="shared" si="102"/>
        <v>0</v>
      </c>
      <c r="AL210">
        <f t="shared" si="103"/>
        <v>0</v>
      </c>
      <c r="AM210">
        <f t="shared" si="104"/>
        <v>0</v>
      </c>
      <c r="AN210">
        <f t="shared" si="105"/>
        <v>1</v>
      </c>
      <c r="AO210">
        <f t="shared" si="106"/>
        <v>0</v>
      </c>
      <c r="AP210" t="s">
        <v>8</v>
      </c>
      <c r="AQ210">
        <f t="shared" si="107"/>
        <v>0</v>
      </c>
      <c r="AR210">
        <f t="shared" si="108"/>
        <v>0</v>
      </c>
      <c r="AS210">
        <f t="shared" si="109"/>
        <v>0</v>
      </c>
      <c r="AT210">
        <f t="shared" si="110"/>
        <v>0</v>
      </c>
      <c r="AU210">
        <f t="shared" si="111"/>
        <v>1</v>
      </c>
    </row>
    <row r="211" spans="1:47" x14ac:dyDescent="0.2">
      <c r="A211" t="s">
        <v>241</v>
      </c>
      <c r="B211">
        <v>2022</v>
      </c>
      <c r="C211">
        <v>2015</v>
      </c>
      <c r="D211" t="s">
        <v>264</v>
      </c>
      <c r="E211">
        <v>1</v>
      </c>
      <c r="F211">
        <v>0</v>
      </c>
      <c r="G211">
        <v>0</v>
      </c>
      <c r="H211">
        <v>902</v>
      </c>
      <c r="I211">
        <v>58</v>
      </c>
      <c r="J211">
        <f t="shared" si="84"/>
        <v>6.4301552106430151</v>
      </c>
      <c r="K211">
        <v>609</v>
      </c>
      <c r="L211">
        <v>235</v>
      </c>
      <c r="M211">
        <v>3</v>
      </c>
      <c r="N211" t="s">
        <v>46</v>
      </c>
      <c r="O211">
        <f t="shared" si="85"/>
        <v>1</v>
      </c>
      <c r="P211">
        <f t="shared" si="86"/>
        <v>0</v>
      </c>
      <c r="Q211">
        <f t="shared" si="87"/>
        <v>0</v>
      </c>
      <c r="R211">
        <f t="shared" si="88"/>
        <v>0</v>
      </c>
      <c r="S211">
        <f t="shared" si="89"/>
        <v>0</v>
      </c>
      <c r="T211">
        <f t="shared" si="90"/>
        <v>0</v>
      </c>
      <c r="U211">
        <f t="shared" si="91"/>
        <v>0</v>
      </c>
      <c r="V211">
        <f t="shared" si="92"/>
        <v>0</v>
      </c>
      <c r="W211" t="str">
        <f>VLOOKUP(A211,[2]!Table2[[NCT Number]:[Intervention type]],11,FALSE)</f>
        <v>immunotherapy+chemo</v>
      </c>
      <c r="X211">
        <f t="shared" si="93"/>
        <v>1</v>
      </c>
      <c r="Y211">
        <f t="shared" si="94"/>
        <v>0</v>
      </c>
      <c r="Z211">
        <f t="shared" si="95"/>
        <v>0</v>
      </c>
      <c r="AA211">
        <f t="shared" si="96"/>
        <v>0</v>
      </c>
      <c r="AB211">
        <f t="shared" si="97"/>
        <v>0</v>
      </c>
      <c r="AC211">
        <f t="shared" si="98"/>
        <v>0</v>
      </c>
      <c r="AD211">
        <f t="shared" si="99"/>
        <v>0</v>
      </c>
      <c r="AE211">
        <f t="shared" si="100"/>
        <v>1</v>
      </c>
      <c r="AF211">
        <f>IF(ISNUMBER(SEARCH("endocrine", W211)), 1, 0)</f>
        <v>0</v>
      </c>
      <c r="AG211" t="s">
        <v>9</v>
      </c>
      <c r="AH211" t="s">
        <v>10</v>
      </c>
      <c r="AI211" t="s">
        <v>11</v>
      </c>
      <c r="AJ211">
        <f t="shared" si="101"/>
        <v>0</v>
      </c>
      <c r="AK211">
        <f t="shared" si="102"/>
        <v>1</v>
      </c>
      <c r="AL211">
        <f t="shared" si="103"/>
        <v>0</v>
      </c>
      <c r="AM211">
        <f t="shared" si="104"/>
        <v>0</v>
      </c>
      <c r="AN211">
        <f t="shared" si="105"/>
        <v>0</v>
      </c>
      <c r="AO211">
        <f t="shared" si="106"/>
        <v>0</v>
      </c>
      <c r="AP211" t="s">
        <v>12</v>
      </c>
      <c r="AQ211">
        <f t="shared" si="107"/>
        <v>1</v>
      </c>
      <c r="AR211">
        <f t="shared" si="108"/>
        <v>0</v>
      </c>
      <c r="AS211">
        <f t="shared" si="109"/>
        <v>0</v>
      </c>
      <c r="AT211">
        <f t="shared" si="110"/>
        <v>0</v>
      </c>
      <c r="AU211">
        <f t="shared" si="111"/>
        <v>0</v>
      </c>
    </row>
    <row r="212" spans="1:47" x14ac:dyDescent="0.2">
      <c r="A212" t="s">
        <v>242</v>
      </c>
      <c r="B212">
        <v>2021</v>
      </c>
      <c r="C212">
        <v>2015</v>
      </c>
      <c r="D212" t="s">
        <v>264</v>
      </c>
      <c r="E212">
        <v>1</v>
      </c>
      <c r="F212">
        <v>0</v>
      </c>
      <c r="G212">
        <v>0</v>
      </c>
      <c r="H212">
        <v>915</v>
      </c>
      <c r="I212">
        <v>5</v>
      </c>
      <c r="J212">
        <f t="shared" si="84"/>
        <v>0.54644808743169404</v>
      </c>
      <c r="K212">
        <v>660</v>
      </c>
      <c r="L212">
        <v>250</v>
      </c>
      <c r="M212">
        <v>669</v>
      </c>
      <c r="N212" t="s">
        <v>30</v>
      </c>
      <c r="O212">
        <f t="shared" si="85"/>
        <v>0</v>
      </c>
      <c r="P212">
        <f t="shared" si="86"/>
        <v>0</v>
      </c>
      <c r="Q212">
        <f t="shared" si="87"/>
        <v>1</v>
      </c>
      <c r="R212">
        <f t="shared" si="88"/>
        <v>0</v>
      </c>
      <c r="S212">
        <f t="shared" si="89"/>
        <v>0</v>
      </c>
      <c r="T212">
        <f t="shared" si="90"/>
        <v>0</v>
      </c>
      <c r="U212">
        <f t="shared" si="91"/>
        <v>0</v>
      </c>
      <c r="V212">
        <f t="shared" si="92"/>
        <v>0</v>
      </c>
      <c r="W212" t="str">
        <f>VLOOKUP(A212,[2]!Table2[[NCT Number]:[Intervention type]],11,FALSE)</f>
        <v>immunotherapy+targeted therapy</v>
      </c>
      <c r="X212">
        <f t="shared" si="93"/>
        <v>1</v>
      </c>
      <c r="Y212">
        <f t="shared" si="94"/>
        <v>1</v>
      </c>
      <c r="Z212">
        <f t="shared" si="95"/>
        <v>0</v>
      </c>
      <c r="AA212">
        <f t="shared" si="96"/>
        <v>0</v>
      </c>
      <c r="AB212">
        <f t="shared" si="97"/>
        <v>0</v>
      </c>
      <c r="AC212">
        <f t="shared" si="98"/>
        <v>1</v>
      </c>
      <c r="AD212">
        <f t="shared" si="99"/>
        <v>0</v>
      </c>
      <c r="AE212">
        <f t="shared" si="100"/>
        <v>0</v>
      </c>
      <c r="AF212">
        <f>IF(ISNUMBER(SEARCH("endocrine", W212)), 1, 0)</f>
        <v>0</v>
      </c>
      <c r="AG212" t="s">
        <v>9</v>
      </c>
      <c r="AH212" t="s">
        <v>10</v>
      </c>
      <c r="AI212" t="s">
        <v>11</v>
      </c>
      <c r="AJ212">
        <f t="shared" si="101"/>
        <v>0</v>
      </c>
      <c r="AK212">
        <f t="shared" si="102"/>
        <v>1</v>
      </c>
      <c r="AL212">
        <f t="shared" si="103"/>
        <v>0</v>
      </c>
      <c r="AM212">
        <f t="shared" si="104"/>
        <v>0</v>
      </c>
      <c r="AN212">
        <f t="shared" si="105"/>
        <v>0</v>
      </c>
      <c r="AO212">
        <f t="shared" si="106"/>
        <v>0</v>
      </c>
      <c r="AP212" t="s">
        <v>12</v>
      </c>
      <c r="AQ212">
        <f t="shared" si="107"/>
        <v>1</v>
      </c>
      <c r="AR212">
        <f t="shared" si="108"/>
        <v>0</v>
      </c>
      <c r="AS212">
        <f t="shared" si="109"/>
        <v>0</v>
      </c>
      <c r="AT212">
        <f t="shared" si="110"/>
        <v>0</v>
      </c>
      <c r="AU212">
        <f t="shared" si="111"/>
        <v>0</v>
      </c>
    </row>
    <row r="213" spans="1:47" x14ac:dyDescent="0.2">
      <c r="A213" t="s">
        <v>243</v>
      </c>
      <c r="B213">
        <v>2021</v>
      </c>
      <c r="C213">
        <v>2017</v>
      </c>
      <c r="D213" t="s">
        <v>265</v>
      </c>
      <c r="E213">
        <v>0</v>
      </c>
      <c r="F213">
        <v>1</v>
      </c>
      <c r="G213">
        <v>0</v>
      </c>
      <c r="H213">
        <v>930</v>
      </c>
      <c r="I213">
        <v>46</v>
      </c>
      <c r="J213">
        <f t="shared" si="84"/>
        <v>4.946236559139785</v>
      </c>
      <c r="K213">
        <v>636</v>
      </c>
      <c r="L213">
        <v>248</v>
      </c>
      <c r="M213">
        <v>930</v>
      </c>
      <c r="N213" t="s">
        <v>30</v>
      </c>
      <c r="O213">
        <f t="shared" si="85"/>
        <v>0</v>
      </c>
      <c r="P213">
        <f t="shared" si="86"/>
        <v>0</v>
      </c>
      <c r="Q213">
        <f t="shared" si="87"/>
        <v>1</v>
      </c>
      <c r="R213">
        <f t="shared" si="88"/>
        <v>0</v>
      </c>
      <c r="S213">
        <f t="shared" si="89"/>
        <v>0</v>
      </c>
      <c r="T213">
        <f t="shared" si="90"/>
        <v>0</v>
      </c>
      <c r="U213">
        <f t="shared" si="91"/>
        <v>0</v>
      </c>
      <c r="V213">
        <f t="shared" si="92"/>
        <v>0</v>
      </c>
      <c r="W213" t="str">
        <f>VLOOKUP(A213,[2]!Table2[[NCT Number]:[Intervention type]],11,FALSE)</f>
        <v>Targeted therapy</v>
      </c>
      <c r="X213">
        <f t="shared" si="93"/>
        <v>0</v>
      </c>
      <c r="Y213">
        <f t="shared" si="94"/>
        <v>1</v>
      </c>
      <c r="Z213">
        <f t="shared" si="95"/>
        <v>0</v>
      </c>
      <c r="AA213">
        <f t="shared" si="96"/>
        <v>0</v>
      </c>
      <c r="AB213">
        <f t="shared" si="97"/>
        <v>0</v>
      </c>
      <c r="AC213">
        <f t="shared" si="98"/>
        <v>0</v>
      </c>
      <c r="AD213">
        <f t="shared" si="99"/>
        <v>0</v>
      </c>
      <c r="AE213">
        <f t="shared" si="100"/>
        <v>0</v>
      </c>
      <c r="AF213">
        <f>IF(ISNUMBER(SEARCH("endocrine", W213)), 1, 0)</f>
        <v>0</v>
      </c>
      <c r="AG213" t="s">
        <v>15</v>
      </c>
      <c r="AH213" t="s">
        <v>10</v>
      </c>
      <c r="AI213" t="s">
        <v>26</v>
      </c>
      <c r="AJ213">
        <f t="shared" si="101"/>
        <v>1</v>
      </c>
      <c r="AK213">
        <f t="shared" si="102"/>
        <v>0</v>
      </c>
      <c r="AL213">
        <f t="shared" si="103"/>
        <v>0</v>
      </c>
      <c r="AM213">
        <f t="shared" si="104"/>
        <v>0</v>
      </c>
      <c r="AN213">
        <f t="shared" si="105"/>
        <v>0</v>
      </c>
      <c r="AO213">
        <f t="shared" si="106"/>
        <v>0</v>
      </c>
      <c r="AP213" t="s">
        <v>8</v>
      </c>
      <c r="AQ213">
        <f t="shared" si="107"/>
        <v>0</v>
      </c>
      <c r="AR213">
        <f t="shared" si="108"/>
        <v>0</v>
      </c>
      <c r="AS213">
        <f t="shared" si="109"/>
        <v>0</v>
      </c>
      <c r="AT213">
        <f t="shared" si="110"/>
        <v>0</v>
      </c>
      <c r="AU213">
        <f t="shared" si="111"/>
        <v>1</v>
      </c>
    </row>
    <row r="214" spans="1:47" x14ac:dyDescent="0.2">
      <c r="A214" t="s">
        <v>244</v>
      </c>
      <c r="B214">
        <v>2021</v>
      </c>
      <c r="C214">
        <v>2015</v>
      </c>
      <c r="D214" t="s">
        <v>264</v>
      </c>
      <c r="E214">
        <v>1</v>
      </c>
      <c r="F214">
        <v>0</v>
      </c>
      <c r="G214">
        <v>0</v>
      </c>
      <c r="H214">
        <v>931</v>
      </c>
      <c r="I214">
        <v>3</v>
      </c>
      <c r="J214">
        <f t="shared" si="84"/>
        <v>0.32223415682062301</v>
      </c>
      <c r="K214">
        <v>671</v>
      </c>
      <c r="L214">
        <v>257</v>
      </c>
      <c r="M214">
        <v>718</v>
      </c>
      <c r="N214" t="s">
        <v>30</v>
      </c>
      <c r="O214">
        <f t="shared" si="85"/>
        <v>0</v>
      </c>
      <c r="P214">
        <f t="shared" si="86"/>
        <v>0</v>
      </c>
      <c r="Q214">
        <f t="shared" si="87"/>
        <v>1</v>
      </c>
      <c r="R214">
        <f t="shared" si="88"/>
        <v>0</v>
      </c>
      <c r="S214">
        <f t="shared" si="89"/>
        <v>0</v>
      </c>
      <c r="T214">
        <f t="shared" si="90"/>
        <v>0</v>
      </c>
      <c r="U214">
        <f t="shared" si="91"/>
        <v>0</v>
      </c>
      <c r="V214">
        <f t="shared" si="92"/>
        <v>0</v>
      </c>
      <c r="W214" t="str">
        <f>VLOOKUP(A214,[2]!Table2[[NCT Number]:[Intervention type]],11,FALSE)</f>
        <v>immunotherapy</v>
      </c>
      <c r="X214">
        <f t="shared" si="93"/>
        <v>1</v>
      </c>
      <c r="Y214">
        <f t="shared" si="94"/>
        <v>0</v>
      </c>
      <c r="Z214">
        <f t="shared" si="95"/>
        <v>0</v>
      </c>
      <c r="AA214">
        <f t="shared" si="96"/>
        <v>0</v>
      </c>
      <c r="AB214">
        <f t="shared" si="97"/>
        <v>0</v>
      </c>
      <c r="AC214">
        <f t="shared" si="98"/>
        <v>0</v>
      </c>
      <c r="AD214">
        <f t="shared" si="99"/>
        <v>0</v>
      </c>
      <c r="AE214">
        <f t="shared" si="100"/>
        <v>0</v>
      </c>
      <c r="AF214">
        <f>IF(ISNUMBER(SEARCH("endocrine", W214)), 1, 0)</f>
        <v>0</v>
      </c>
      <c r="AG214" t="s">
        <v>15</v>
      </c>
      <c r="AH214" t="s">
        <v>10</v>
      </c>
      <c r="AI214" t="s">
        <v>11</v>
      </c>
      <c r="AJ214">
        <f t="shared" si="101"/>
        <v>0</v>
      </c>
      <c r="AK214">
        <f t="shared" si="102"/>
        <v>1</v>
      </c>
      <c r="AL214">
        <f t="shared" si="103"/>
        <v>0</v>
      </c>
      <c r="AM214">
        <f t="shared" si="104"/>
        <v>0</v>
      </c>
      <c r="AN214">
        <f t="shared" si="105"/>
        <v>0</v>
      </c>
      <c r="AO214">
        <f t="shared" si="106"/>
        <v>0</v>
      </c>
      <c r="AP214" t="s">
        <v>12</v>
      </c>
      <c r="AQ214">
        <f t="shared" si="107"/>
        <v>1</v>
      </c>
      <c r="AR214">
        <f t="shared" si="108"/>
        <v>0</v>
      </c>
      <c r="AS214">
        <f t="shared" si="109"/>
        <v>0</v>
      </c>
      <c r="AT214">
        <f t="shared" si="110"/>
        <v>0</v>
      </c>
      <c r="AU214">
        <f t="shared" si="111"/>
        <v>0</v>
      </c>
    </row>
    <row r="215" spans="1:47" x14ac:dyDescent="0.2">
      <c r="A215" t="s">
        <v>245</v>
      </c>
      <c r="B215">
        <v>2022</v>
      </c>
      <c r="C215">
        <v>2016</v>
      </c>
      <c r="D215" t="s">
        <v>265</v>
      </c>
      <c r="E215">
        <v>0</v>
      </c>
      <c r="F215">
        <v>1</v>
      </c>
      <c r="G215">
        <v>0</v>
      </c>
      <c r="H215">
        <v>947</v>
      </c>
      <c r="I215">
        <v>22</v>
      </c>
      <c r="J215">
        <f t="shared" si="84"/>
        <v>2.3231256599788805</v>
      </c>
      <c r="K215">
        <v>780</v>
      </c>
      <c r="L215">
        <v>145</v>
      </c>
      <c r="M215">
        <v>777</v>
      </c>
      <c r="N215" t="s">
        <v>35</v>
      </c>
      <c r="O215">
        <f t="shared" si="85"/>
        <v>0</v>
      </c>
      <c r="P215">
        <f t="shared" si="86"/>
        <v>0</v>
      </c>
      <c r="Q215">
        <f t="shared" si="87"/>
        <v>0</v>
      </c>
      <c r="R215">
        <f t="shared" si="88"/>
        <v>0</v>
      </c>
      <c r="S215">
        <f t="shared" si="89"/>
        <v>1</v>
      </c>
      <c r="T215">
        <f t="shared" si="90"/>
        <v>0</v>
      </c>
      <c r="U215">
        <f t="shared" si="91"/>
        <v>0</v>
      </c>
      <c r="V215">
        <f t="shared" si="92"/>
        <v>0</v>
      </c>
      <c r="W215" t="str">
        <f>VLOOKUP(A215,[2]!Table2[[NCT Number]:[Intervention type]],11,FALSE)</f>
        <v>immunotherapy</v>
      </c>
      <c r="X215">
        <f t="shared" si="93"/>
        <v>1</v>
      </c>
      <c r="Y215">
        <f t="shared" si="94"/>
        <v>0</v>
      </c>
      <c r="Z215">
        <f t="shared" si="95"/>
        <v>0</v>
      </c>
      <c r="AA215">
        <f t="shared" si="96"/>
        <v>0</v>
      </c>
      <c r="AB215">
        <f t="shared" si="97"/>
        <v>0</v>
      </c>
      <c r="AC215">
        <f t="shared" si="98"/>
        <v>0</v>
      </c>
      <c r="AD215">
        <f t="shared" si="99"/>
        <v>0</v>
      </c>
      <c r="AE215">
        <f t="shared" si="100"/>
        <v>0</v>
      </c>
      <c r="AF215">
        <f>IF(ISNUMBER(SEARCH("endocrine", W215)), 1, 0)</f>
        <v>0</v>
      </c>
      <c r="AG215" t="s">
        <v>9</v>
      </c>
      <c r="AH215" t="s">
        <v>10</v>
      </c>
      <c r="AI215" t="s">
        <v>263</v>
      </c>
      <c r="AJ215">
        <f t="shared" si="101"/>
        <v>0</v>
      </c>
      <c r="AK215">
        <f t="shared" si="102"/>
        <v>0</v>
      </c>
      <c r="AL215">
        <f t="shared" si="103"/>
        <v>0</v>
      </c>
      <c r="AM215">
        <f t="shared" si="104"/>
        <v>0</v>
      </c>
      <c r="AN215">
        <f t="shared" si="105"/>
        <v>1</v>
      </c>
      <c r="AO215">
        <f t="shared" si="106"/>
        <v>0</v>
      </c>
      <c r="AP215" t="s">
        <v>12</v>
      </c>
      <c r="AQ215">
        <f t="shared" si="107"/>
        <v>1</v>
      </c>
      <c r="AR215">
        <f t="shared" si="108"/>
        <v>0</v>
      </c>
      <c r="AS215">
        <f t="shared" si="109"/>
        <v>0</v>
      </c>
      <c r="AT215">
        <f t="shared" si="110"/>
        <v>0</v>
      </c>
      <c r="AU215">
        <f t="shared" si="111"/>
        <v>0</v>
      </c>
    </row>
    <row r="216" spans="1:47" x14ac:dyDescent="0.2">
      <c r="A216" t="s">
        <v>246</v>
      </c>
      <c r="B216">
        <v>2022</v>
      </c>
      <c r="C216">
        <v>2015</v>
      </c>
      <c r="D216" t="s">
        <v>264</v>
      </c>
      <c r="E216">
        <v>1</v>
      </c>
      <c r="F216">
        <v>0</v>
      </c>
      <c r="G216">
        <v>0</v>
      </c>
      <c r="H216">
        <v>970</v>
      </c>
      <c r="I216">
        <v>0</v>
      </c>
      <c r="J216">
        <f t="shared" si="84"/>
        <v>0</v>
      </c>
      <c r="K216">
        <v>18</v>
      </c>
      <c r="L216">
        <v>401</v>
      </c>
      <c r="M216">
        <v>797</v>
      </c>
      <c r="N216" t="s">
        <v>56</v>
      </c>
      <c r="O216">
        <f t="shared" si="85"/>
        <v>0</v>
      </c>
      <c r="P216">
        <f t="shared" si="86"/>
        <v>1</v>
      </c>
      <c r="Q216">
        <f t="shared" si="87"/>
        <v>0</v>
      </c>
      <c r="R216">
        <f t="shared" si="88"/>
        <v>0</v>
      </c>
      <c r="S216">
        <f t="shared" si="89"/>
        <v>0</v>
      </c>
      <c r="T216">
        <f t="shared" si="90"/>
        <v>0</v>
      </c>
      <c r="U216">
        <f t="shared" si="91"/>
        <v>0</v>
      </c>
      <c r="V216">
        <f t="shared" si="92"/>
        <v>0</v>
      </c>
      <c r="W216" t="str">
        <f>VLOOKUP(A216,[2]!Table2[[NCT Number]:[Intervention type]],11,FALSE)</f>
        <v>immunotherapy+chemo</v>
      </c>
      <c r="X216">
        <f t="shared" si="93"/>
        <v>1</v>
      </c>
      <c r="Y216">
        <f t="shared" si="94"/>
        <v>0</v>
      </c>
      <c r="Z216">
        <f t="shared" si="95"/>
        <v>0</v>
      </c>
      <c r="AA216">
        <f t="shared" si="96"/>
        <v>0</v>
      </c>
      <c r="AB216">
        <f t="shared" si="97"/>
        <v>0</v>
      </c>
      <c r="AC216">
        <f t="shared" si="98"/>
        <v>0</v>
      </c>
      <c r="AD216">
        <f t="shared" si="99"/>
        <v>0</v>
      </c>
      <c r="AE216">
        <f t="shared" si="100"/>
        <v>1</v>
      </c>
      <c r="AF216">
        <f>IF(ISNUMBER(SEARCH("endocrine", W216)), 1, 0)</f>
        <v>0</v>
      </c>
      <c r="AG216" t="s">
        <v>9</v>
      </c>
      <c r="AH216" t="s">
        <v>10</v>
      </c>
      <c r="AI216" t="s">
        <v>263</v>
      </c>
      <c r="AJ216">
        <f t="shared" si="101"/>
        <v>0</v>
      </c>
      <c r="AK216">
        <f t="shared" si="102"/>
        <v>0</v>
      </c>
      <c r="AL216">
        <f t="shared" si="103"/>
        <v>0</v>
      </c>
      <c r="AM216">
        <f t="shared" si="104"/>
        <v>0</v>
      </c>
      <c r="AN216">
        <f t="shared" si="105"/>
        <v>1</v>
      </c>
      <c r="AO216">
        <f t="shared" si="106"/>
        <v>0</v>
      </c>
      <c r="AP216" t="s">
        <v>12</v>
      </c>
      <c r="AQ216">
        <f t="shared" si="107"/>
        <v>1</v>
      </c>
      <c r="AR216">
        <f t="shared" si="108"/>
        <v>0</v>
      </c>
      <c r="AS216">
        <f t="shared" si="109"/>
        <v>0</v>
      </c>
      <c r="AT216">
        <f t="shared" si="110"/>
        <v>0</v>
      </c>
      <c r="AU216">
        <f t="shared" si="111"/>
        <v>0</v>
      </c>
    </row>
    <row r="217" spans="1:47" x14ac:dyDescent="0.2">
      <c r="A217" t="s">
        <v>247</v>
      </c>
      <c r="B217">
        <v>2023</v>
      </c>
      <c r="C217">
        <v>2016</v>
      </c>
      <c r="D217" t="s">
        <v>265</v>
      </c>
      <c r="E217">
        <v>0</v>
      </c>
      <c r="F217">
        <v>1</v>
      </c>
      <c r="G217">
        <v>0</v>
      </c>
      <c r="H217">
        <v>1010</v>
      </c>
      <c r="I217">
        <v>8</v>
      </c>
      <c r="J217">
        <f t="shared" si="84"/>
        <v>0.79207920792079212</v>
      </c>
      <c r="K217">
        <v>690</v>
      </c>
      <c r="L217">
        <v>312</v>
      </c>
      <c r="M217">
        <v>762</v>
      </c>
      <c r="N217" t="s">
        <v>30</v>
      </c>
      <c r="O217">
        <f t="shared" si="85"/>
        <v>0</v>
      </c>
      <c r="P217">
        <f t="shared" si="86"/>
        <v>0</v>
      </c>
      <c r="Q217">
        <f t="shared" si="87"/>
        <v>1</v>
      </c>
      <c r="R217">
        <f t="shared" si="88"/>
        <v>0</v>
      </c>
      <c r="S217">
        <f t="shared" si="89"/>
        <v>0</v>
      </c>
      <c r="T217">
        <f t="shared" si="90"/>
        <v>0</v>
      </c>
      <c r="U217">
        <f t="shared" si="91"/>
        <v>0</v>
      </c>
      <c r="V217">
        <f t="shared" si="92"/>
        <v>0</v>
      </c>
      <c r="W217" t="str">
        <f>VLOOKUP(A217,[2]!Table2[[NCT Number]:[Intervention type]],11,FALSE)</f>
        <v>immunotherapy+chemo</v>
      </c>
      <c r="X217">
        <f t="shared" si="93"/>
        <v>1</v>
      </c>
      <c r="Y217">
        <f t="shared" si="94"/>
        <v>0</v>
      </c>
      <c r="Z217">
        <f t="shared" si="95"/>
        <v>0</v>
      </c>
      <c r="AA217">
        <f t="shared" si="96"/>
        <v>0</v>
      </c>
      <c r="AB217">
        <f t="shared" si="97"/>
        <v>0</v>
      </c>
      <c r="AC217">
        <f t="shared" si="98"/>
        <v>0</v>
      </c>
      <c r="AD217">
        <f t="shared" si="99"/>
        <v>0</v>
      </c>
      <c r="AE217">
        <f t="shared" si="100"/>
        <v>1</v>
      </c>
      <c r="AF217">
        <f>IF(ISNUMBER(SEARCH("endocrine", W217)), 1, 0)</f>
        <v>0</v>
      </c>
      <c r="AG217" t="s">
        <v>9</v>
      </c>
      <c r="AH217" t="s">
        <v>10</v>
      </c>
      <c r="AI217" t="s">
        <v>263</v>
      </c>
      <c r="AJ217">
        <f t="shared" si="101"/>
        <v>0</v>
      </c>
      <c r="AK217">
        <f t="shared" si="102"/>
        <v>0</v>
      </c>
      <c r="AL217">
        <f t="shared" si="103"/>
        <v>0</v>
      </c>
      <c r="AM217">
        <f t="shared" si="104"/>
        <v>0</v>
      </c>
      <c r="AN217">
        <f t="shared" si="105"/>
        <v>1</v>
      </c>
      <c r="AO217">
        <f t="shared" si="106"/>
        <v>0</v>
      </c>
      <c r="AP217" t="s">
        <v>12</v>
      </c>
      <c r="AQ217">
        <f t="shared" si="107"/>
        <v>1</v>
      </c>
      <c r="AR217">
        <f t="shared" si="108"/>
        <v>0</v>
      </c>
      <c r="AS217">
        <f t="shared" si="109"/>
        <v>0</v>
      </c>
      <c r="AT217">
        <f t="shared" si="110"/>
        <v>0</v>
      </c>
      <c r="AU217">
        <f t="shared" si="111"/>
        <v>0</v>
      </c>
    </row>
    <row r="218" spans="1:47" x14ac:dyDescent="0.2">
      <c r="A218" t="s">
        <v>248</v>
      </c>
      <c r="B218">
        <v>2021</v>
      </c>
      <c r="C218">
        <v>2015</v>
      </c>
      <c r="D218" t="s">
        <v>264</v>
      </c>
      <c r="E218">
        <v>1</v>
      </c>
      <c r="F218">
        <v>0</v>
      </c>
      <c r="G218">
        <v>0</v>
      </c>
      <c r="H218">
        <v>1021</v>
      </c>
      <c r="I218">
        <v>14</v>
      </c>
      <c r="J218">
        <f t="shared" si="84"/>
        <v>1.3712047012732616</v>
      </c>
      <c r="K218">
        <v>869</v>
      </c>
      <c r="L218">
        <v>138</v>
      </c>
      <c r="M218">
        <v>835</v>
      </c>
      <c r="N218" t="s">
        <v>18</v>
      </c>
      <c r="O218">
        <f t="shared" si="85"/>
        <v>0</v>
      </c>
      <c r="P218">
        <f t="shared" si="86"/>
        <v>0</v>
      </c>
      <c r="Q218">
        <f t="shared" si="87"/>
        <v>0</v>
      </c>
      <c r="R218">
        <f t="shared" si="88"/>
        <v>0</v>
      </c>
      <c r="S218">
        <f t="shared" si="89"/>
        <v>0</v>
      </c>
      <c r="T218">
        <f t="shared" si="90"/>
        <v>0</v>
      </c>
      <c r="U218">
        <f t="shared" si="91"/>
        <v>1</v>
      </c>
      <c r="V218">
        <f t="shared" si="92"/>
        <v>0</v>
      </c>
      <c r="W218" t="str">
        <f>VLOOKUP(A218,[2]!Table2[[NCT Number]:[Intervention type]],11,FALSE)</f>
        <v>immunotherapy+chemo</v>
      </c>
      <c r="X218">
        <f t="shared" si="93"/>
        <v>1</v>
      </c>
      <c r="Y218">
        <f t="shared" si="94"/>
        <v>0</v>
      </c>
      <c r="Z218">
        <f t="shared" si="95"/>
        <v>0</v>
      </c>
      <c r="AA218">
        <f t="shared" si="96"/>
        <v>0</v>
      </c>
      <c r="AB218">
        <f t="shared" si="97"/>
        <v>0</v>
      </c>
      <c r="AC218">
        <f t="shared" si="98"/>
        <v>0</v>
      </c>
      <c r="AD218">
        <f t="shared" si="99"/>
        <v>0</v>
      </c>
      <c r="AE218">
        <f t="shared" si="100"/>
        <v>1</v>
      </c>
      <c r="AF218">
        <f>IF(ISNUMBER(SEARCH("endocrine", W218)), 1, 0)</f>
        <v>0</v>
      </c>
      <c r="AG218" t="s">
        <v>9</v>
      </c>
      <c r="AH218" t="s">
        <v>124</v>
      </c>
      <c r="AI218" t="s">
        <v>42</v>
      </c>
      <c r="AJ218">
        <f t="shared" si="101"/>
        <v>0</v>
      </c>
      <c r="AK218">
        <f t="shared" si="102"/>
        <v>0</v>
      </c>
      <c r="AL218">
        <f t="shared" si="103"/>
        <v>1</v>
      </c>
      <c r="AM218">
        <f t="shared" si="104"/>
        <v>0</v>
      </c>
      <c r="AN218">
        <f t="shared" si="105"/>
        <v>0</v>
      </c>
      <c r="AO218">
        <f t="shared" si="106"/>
        <v>0</v>
      </c>
      <c r="AP218" t="s">
        <v>8</v>
      </c>
      <c r="AQ218">
        <f t="shared" si="107"/>
        <v>0</v>
      </c>
      <c r="AR218">
        <f t="shared" si="108"/>
        <v>0</v>
      </c>
      <c r="AS218">
        <f t="shared" si="109"/>
        <v>0</v>
      </c>
      <c r="AT218">
        <f t="shared" si="110"/>
        <v>0</v>
      </c>
      <c r="AU218">
        <f t="shared" si="111"/>
        <v>1</v>
      </c>
    </row>
    <row r="219" spans="1:47" x14ac:dyDescent="0.2">
      <c r="A219" t="s">
        <v>249</v>
      </c>
      <c r="B219">
        <v>2023</v>
      </c>
      <c r="C219">
        <v>2019</v>
      </c>
      <c r="D219" t="s">
        <v>266</v>
      </c>
      <c r="E219">
        <v>0</v>
      </c>
      <c r="F219">
        <v>0</v>
      </c>
      <c r="G219">
        <v>1</v>
      </c>
      <c r="H219">
        <v>1030</v>
      </c>
      <c r="I219">
        <v>26</v>
      </c>
      <c r="J219">
        <f t="shared" si="84"/>
        <v>2.5242718446601944</v>
      </c>
      <c r="K219">
        <v>800</v>
      </c>
      <c r="L219">
        <v>204</v>
      </c>
      <c r="M219">
        <v>1030</v>
      </c>
      <c r="N219" t="s">
        <v>30</v>
      </c>
      <c r="O219">
        <f t="shared" si="85"/>
        <v>0</v>
      </c>
      <c r="P219">
        <f t="shared" si="86"/>
        <v>0</v>
      </c>
      <c r="Q219">
        <f t="shared" si="87"/>
        <v>1</v>
      </c>
      <c r="R219">
        <f t="shared" si="88"/>
        <v>0</v>
      </c>
      <c r="S219">
        <f t="shared" si="89"/>
        <v>0</v>
      </c>
      <c r="T219">
        <f t="shared" si="90"/>
        <v>0</v>
      </c>
      <c r="U219">
        <f t="shared" si="91"/>
        <v>0</v>
      </c>
      <c r="V219">
        <f t="shared" si="92"/>
        <v>0</v>
      </c>
      <c r="W219" t="str">
        <f>VLOOKUP(A219,[2]!Table2[[NCT Number]:[Intervention type]],11,FALSE)</f>
        <v>immunotherapy+chemo</v>
      </c>
      <c r="X219">
        <f t="shared" si="93"/>
        <v>1</v>
      </c>
      <c r="Y219">
        <f t="shared" si="94"/>
        <v>0</v>
      </c>
      <c r="Z219">
        <f t="shared" si="95"/>
        <v>0</v>
      </c>
      <c r="AA219">
        <f t="shared" si="96"/>
        <v>0</v>
      </c>
      <c r="AB219">
        <f t="shared" si="97"/>
        <v>0</v>
      </c>
      <c r="AC219">
        <f t="shared" si="98"/>
        <v>0</v>
      </c>
      <c r="AD219">
        <f t="shared" si="99"/>
        <v>0</v>
      </c>
      <c r="AE219">
        <f t="shared" si="100"/>
        <v>1</v>
      </c>
      <c r="AF219">
        <f>IF(ISNUMBER(SEARCH("endocrine", W219)), 1, 0)</f>
        <v>0</v>
      </c>
      <c r="AG219" t="s">
        <v>9</v>
      </c>
      <c r="AH219" t="s">
        <v>10</v>
      </c>
      <c r="AI219" t="s">
        <v>263</v>
      </c>
      <c r="AJ219">
        <f t="shared" si="101"/>
        <v>0</v>
      </c>
      <c r="AK219">
        <f t="shared" si="102"/>
        <v>0</v>
      </c>
      <c r="AL219">
        <f t="shared" si="103"/>
        <v>0</v>
      </c>
      <c r="AM219">
        <f t="shared" si="104"/>
        <v>0</v>
      </c>
      <c r="AN219">
        <f t="shared" si="105"/>
        <v>1</v>
      </c>
      <c r="AO219">
        <f t="shared" si="106"/>
        <v>0</v>
      </c>
      <c r="AP219" t="s">
        <v>12</v>
      </c>
      <c r="AQ219">
        <f t="shared" si="107"/>
        <v>1</v>
      </c>
      <c r="AR219">
        <f t="shared" si="108"/>
        <v>0</v>
      </c>
      <c r="AS219">
        <f t="shared" si="109"/>
        <v>0</v>
      </c>
      <c r="AT219">
        <f t="shared" si="110"/>
        <v>0</v>
      </c>
      <c r="AU219">
        <f t="shared" si="111"/>
        <v>0</v>
      </c>
    </row>
    <row r="220" spans="1:47" x14ac:dyDescent="0.2">
      <c r="A220" t="s">
        <v>250</v>
      </c>
      <c r="B220">
        <v>2019</v>
      </c>
      <c r="C220">
        <v>2016</v>
      </c>
      <c r="D220" t="s">
        <v>265</v>
      </c>
      <c r="E220">
        <v>0</v>
      </c>
      <c r="F220">
        <v>1</v>
      </c>
      <c r="G220">
        <v>0</v>
      </c>
      <c r="H220">
        <v>1134</v>
      </c>
      <c r="I220">
        <v>28</v>
      </c>
      <c r="J220">
        <f t="shared" si="84"/>
        <v>2.4691358024691357</v>
      </c>
      <c r="K220">
        <v>704</v>
      </c>
      <c r="L220">
        <v>399</v>
      </c>
      <c r="M220">
        <v>671</v>
      </c>
      <c r="N220" t="s">
        <v>56</v>
      </c>
      <c r="O220">
        <f t="shared" si="85"/>
        <v>0</v>
      </c>
      <c r="P220">
        <f t="shared" si="86"/>
        <v>1</v>
      </c>
      <c r="Q220">
        <f t="shared" si="87"/>
        <v>0</v>
      </c>
      <c r="R220">
        <f t="shared" si="88"/>
        <v>0</v>
      </c>
      <c r="S220">
        <f t="shared" si="89"/>
        <v>0</v>
      </c>
      <c r="T220">
        <f t="shared" si="90"/>
        <v>0</v>
      </c>
      <c r="U220">
        <f t="shared" si="91"/>
        <v>0</v>
      </c>
      <c r="V220">
        <f t="shared" si="92"/>
        <v>0</v>
      </c>
      <c r="W220" t="str">
        <f>VLOOKUP(A220,[2]!Table2[[NCT Number]:[Intervention type]],11,FALSE)</f>
        <v>Targeted therapy+chemo</v>
      </c>
      <c r="X220">
        <f t="shared" si="93"/>
        <v>0</v>
      </c>
      <c r="Y220">
        <f t="shared" si="94"/>
        <v>1</v>
      </c>
      <c r="Z220">
        <f t="shared" si="95"/>
        <v>0</v>
      </c>
      <c r="AA220">
        <f t="shared" si="96"/>
        <v>0</v>
      </c>
      <c r="AB220">
        <f t="shared" si="97"/>
        <v>0</v>
      </c>
      <c r="AC220">
        <f t="shared" si="98"/>
        <v>0</v>
      </c>
      <c r="AD220">
        <f t="shared" si="99"/>
        <v>1</v>
      </c>
      <c r="AE220">
        <f t="shared" si="100"/>
        <v>0</v>
      </c>
      <c r="AF220">
        <f>IF(ISNUMBER(SEARCH("endocrine", W220)), 1, 0)</f>
        <v>0</v>
      </c>
      <c r="AG220" t="s">
        <v>9</v>
      </c>
      <c r="AH220" t="s">
        <v>10</v>
      </c>
      <c r="AI220" t="s">
        <v>11</v>
      </c>
      <c r="AJ220">
        <f t="shared" si="101"/>
        <v>0</v>
      </c>
      <c r="AK220">
        <f t="shared" si="102"/>
        <v>1</v>
      </c>
      <c r="AL220">
        <f t="shared" si="103"/>
        <v>0</v>
      </c>
      <c r="AM220">
        <f t="shared" si="104"/>
        <v>0</v>
      </c>
      <c r="AN220">
        <f t="shared" si="105"/>
        <v>0</v>
      </c>
      <c r="AO220">
        <f t="shared" si="106"/>
        <v>0</v>
      </c>
      <c r="AP220" t="s">
        <v>12</v>
      </c>
      <c r="AQ220">
        <f t="shared" si="107"/>
        <v>1</v>
      </c>
      <c r="AR220">
        <f t="shared" si="108"/>
        <v>0</v>
      </c>
      <c r="AS220">
        <f t="shared" si="109"/>
        <v>0</v>
      </c>
      <c r="AT220">
        <f t="shared" si="110"/>
        <v>0</v>
      </c>
      <c r="AU220">
        <f t="shared" si="111"/>
        <v>0</v>
      </c>
    </row>
    <row r="221" spans="1:47" x14ac:dyDescent="0.2">
      <c r="A221" t="s">
        <v>251</v>
      </c>
      <c r="B221">
        <v>2020</v>
      </c>
      <c r="C221">
        <v>2014</v>
      </c>
      <c r="D221" t="s">
        <v>264</v>
      </c>
      <c r="E221">
        <v>1</v>
      </c>
      <c r="F221">
        <v>0</v>
      </c>
      <c r="G221">
        <v>0</v>
      </c>
      <c r="H221">
        <v>1182</v>
      </c>
      <c r="I221">
        <v>45</v>
      </c>
      <c r="J221">
        <f t="shared" si="84"/>
        <v>3.8071065989847717</v>
      </c>
      <c r="K221">
        <v>1091</v>
      </c>
      <c r="L221">
        <v>46</v>
      </c>
      <c r="M221">
        <v>1182</v>
      </c>
      <c r="N221" t="s">
        <v>30</v>
      </c>
      <c r="O221">
        <f t="shared" si="85"/>
        <v>0</v>
      </c>
      <c r="P221">
        <f t="shared" si="86"/>
        <v>0</v>
      </c>
      <c r="Q221">
        <f t="shared" si="87"/>
        <v>1</v>
      </c>
      <c r="R221">
        <f t="shared" si="88"/>
        <v>0</v>
      </c>
      <c r="S221">
        <f t="shared" si="89"/>
        <v>0</v>
      </c>
      <c r="T221">
        <f t="shared" si="90"/>
        <v>0</v>
      </c>
      <c r="U221">
        <f t="shared" si="91"/>
        <v>0</v>
      </c>
      <c r="V221">
        <f t="shared" si="92"/>
        <v>0</v>
      </c>
      <c r="W221" t="str">
        <f>VLOOKUP(A221,[2]!Table2[[NCT Number]:[Intervention type]],11,FALSE)</f>
        <v>immunotherapy+chemo</v>
      </c>
      <c r="X221">
        <f t="shared" si="93"/>
        <v>1</v>
      </c>
      <c r="Y221">
        <f t="shared" si="94"/>
        <v>0</v>
      </c>
      <c r="Z221">
        <f t="shared" si="95"/>
        <v>0</v>
      </c>
      <c r="AA221">
        <f t="shared" si="96"/>
        <v>0</v>
      </c>
      <c r="AB221">
        <f t="shared" si="97"/>
        <v>0</v>
      </c>
      <c r="AC221">
        <f t="shared" si="98"/>
        <v>0</v>
      </c>
      <c r="AD221">
        <f t="shared" si="99"/>
        <v>0</v>
      </c>
      <c r="AE221">
        <f t="shared" si="100"/>
        <v>1</v>
      </c>
      <c r="AF221">
        <f>IF(ISNUMBER(SEARCH("endocrine", W221)), 1, 0)</f>
        <v>0</v>
      </c>
      <c r="AG221" t="s">
        <v>9</v>
      </c>
      <c r="AH221" t="s">
        <v>10</v>
      </c>
      <c r="AI221" t="s">
        <v>42</v>
      </c>
      <c r="AJ221">
        <f t="shared" si="101"/>
        <v>0</v>
      </c>
      <c r="AK221">
        <f t="shared" si="102"/>
        <v>0</v>
      </c>
      <c r="AL221">
        <f t="shared" si="103"/>
        <v>1</v>
      </c>
      <c r="AM221">
        <f t="shared" si="104"/>
        <v>0</v>
      </c>
      <c r="AN221">
        <f t="shared" si="105"/>
        <v>0</v>
      </c>
      <c r="AO221">
        <f t="shared" si="106"/>
        <v>0</v>
      </c>
      <c r="AP221" t="s">
        <v>8</v>
      </c>
      <c r="AQ221">
        <f t="shared" si="107"/>
        <v>0</v>
      </c>
      <c r="AR221">
        <f t="shared" si="108"/>
        <v>0</v>
      </c>
      <c r="AS221">
        <f t="shared" si="109"/>
        <v>0</v>
      </c>
      <c r="AT221">
        <f t="shared" si="110"/>
        <v>0</v>
      </c>
      <c r="AU221">
        <f t="shared" si="111"/>
        <v>1</v>
      </c>
    </row>
    <row r="222" spans="1:47" x14ac:dyDescent="0.2">
      <c r="A222" t="s">
        <v>252</v>
      </c>
      <c r="B222">
        <v>2019</v>
      </c>
      <c r="C222">
        <v>2015</v>
      </c>
      <c r="D222" t="s">
        <v>264</v>
      </c>
      <c r="E222">
        <v>1</v>
      </c>
      <c r="F222">
        <v>0</v>
      </c>
      <c r="G222">
        <v>0</v>
      </c>
      <c r="H222">
        <v>1202</v>
      </c>
      <c r="I222">
        <v>24</v>
      </c>
      <c r="J222">
        <f t="shared" si="84"/>
        <v>1.9966722129783694</v>
      </c>
      <c r="K222">
        <v>988</v>
      </c>
      <c r="L222">
        <v>190</v>
      </c>
      <c r="M222">
        <v>720</v>
      </c>
      <c r="N222" t="s">
        <v>18</v>
      </c>
      <c r="O222">
        <f t="shared" si="85"/>
        <v>0</v>
      </c>
      <c r="P222">
        <f t="shared" si="86"/>
        <v>0</v>
      </c>
      <c r="Q222">
        <f t="shared" si="87"/>
        <v>0</v>
      </c>
      <c r="R222">
        <f t="shared" si="88"/>
        <v>0</v>
      </c>
      <c r="S222">
        <f t="shared" si="89"/>
        <v>0</v>
      </c>
      <c r="T222">
        <f t="shared" si="90"/>
        <v>0</v>
      </c>
      <c r="U222">
        <f t="shared" si="91"/>
        <v>1</v>
      </c>
      <c r="V222">
        <f t="shared" si="92"/>
        <v>0</v>
      </c>
      <c r="W222" t="str">
        <f>VLOOKUP(A222,[2]!Table2[[NCT Number]:[Intervention type]],11,FALSE)</f>
        <v>immunotherapy+chemo</v>
      </c>
      <c r="X222">
        <f t="shared" si="93"/>
        <v>1</v>
      </c>
      <c r="Y222">
        <f t="shared" si="94"/>
        <v>0</v>
      </c>
      <c r="Z222">
        <f t="shared" si="95"/>
        <v>0</v>
      </c>
      <c r="AA222">
        <f t="shared" si="96"/>
        <v>0</v>
      </c>
      <c r="AB222">
        <f t="shared" si="97"/>
        <v>0</v>
      </c>
      <c r="AC222">
        <f t="shared" si="98"/>
        <v>0</v>
      </c>
      <c r="AD222">
        <f t="shared" si="99"/>
        <v>0</v>
      </c>
      <c r="AE222">
        <f t="shared" si="100"/>
        <v>1</v>
      </c>
      <c r="AF222">
        <f>IF(ISNUMBER(SEARCH("endocrine", W222)), 1, 0)</f>
        <v>0</v>
      </c>
      <c r="AG222" t="s">
        <v>9</v>
      </c>
      <c r="AH222" t="s">
        <v>10</v>
      </c>
      <c r="AI222" t="s">
        <v>42</v>
      </c>
      <c r="AJ222">
        <f t="shared" si="101"/>
        <v>0</v>
      </c>
      <c r="AK222">
        <f t="shared" si="102"/>
        <v>0</v>
      </c>
      <c r="AL222">
        <f t="shared" si="103"/>
        <v>1</v>
      </c>
      <c r="AM222">
        <f t="shared" si="104"/>
        <v>0</v>
      </c>
      <c r="AN222">
        <f t="shared" si="105"/>
        <v>0</v>
      </c>
      <c r="AO222">
        <f t="shared" si="106"/>
        <v>0</v>
      </c>
      <c r="AP222" t="s">
        <v>8</v>
      </c>
      <c r="AQ222">
        <f t="shared" si="107"/>
        <v>0</v>
      </c>
      <c r="AR222">
        <f t="shared" si="108"/>
        <v>0</v>
      </c>
      <c r="AS222">
        <f t="shared" si="109"/>
        <v>0</v>
      </c>
      <c r="AT222">
        <f t="shared" si="110"/>
        <v>0</v>
      </c>
      <c r="AU222">
        <f t="shared" si="111"/>
        <v>1</v>
      </c>
    </row>
    <row r="223" spans="1:47" x14ac:dyDescent="0.2">
      <c r="A223" t="s">
        <v>253</v>
      </c>
      <c r="B223">
        <v>2019</v>
      </c>
      <c r="C223">
        <v>2014</v>
      </c>
      <c r="D223" t="s">
        <v>264</v>
      </c>
      <c r="E223">
        <v>1</v>
      </c>
      <c r="F223">
        <v>0</v>
      </c>
      <c r="G223">
        <v>0</v>
      </c>
      <c r="H223">
        <v>1225</v>
      </c>
      <c r="I223">
        <v>27</v>
      </c>
      <c r="J223">
        <f t="shared" si="84"/>
        <v>2.204081632653061</v>
      </c>
      <c r="K223">
        <v>870</v>
      </c>
      <c r="L223">
        <v>328</v>
      </c>
      <c r="M223">
        <v>758</v>
      </c>
      <c r="N223" t="s">
        <v>18</v>
      </c>
      <c r="O223">
        <f t="shared" si="85"/>
        <v>0</v>
      </c>
      <c r="P223">
        <f t="shared" si="86"/>
        <v>0</v>
      </c>
      <c r="Q223">
        <f t="shared" si="87"/>
        <v>0</v>
      </c>
      <c r="R223">
        <f t="shared" si="88"/>
        <v>0</v>
      </c>
      <c r="S223">
        <f t="shared" si="89"/>
        <v>0</v>
      </c>
      <c r="T223">
        <f t="shared" si="90"/>
        <v>0</v>
      </c>
      <c r="U223">
        <f t="shared" si="91"/>
        <v>1</v>
      </c>
      <c r="V223">
        <f t="shared" si="92"/>
        <v>0</v>
      </c>
      <c r="W223" t="str">
        <f>VLOOKUP(A223,[2]!Table2[[NCT Number]:[Intervention type]],11,FALSE)</f>
        <v>immunotherapy+chemo</v>
      </c>
      <c r="X223">
        <f t="shared" si="93"/>
        <v>1</v>
      </c>
      <c r="Y223">
        <f t="shared" si="94"/>
        <v>0</v>
      </c>
      <c r="Z223">
        <f t="shared" si="95"/>
        <v>0</v>
      </c>
      <c r="AA223">
        <f t="shared" si="96"/>
        <v>0</v>
      </c>
      <c r="AB223">
        <f t="shared" si="97"/>
        <v>0</v>
      </c>
      <c r="AC223">
        <f t="shared" si="98"/>
        <v>0</v>
      </c>
      <c r="AD223">
        <f t="shared" si="99"/>
        <v>0</v>
      </c>
      <c r="AE223">
        <f t="shared" si="100"/>
        <v>1</v>
      </c>
      <c r="AF223">
        <f>IF(ISNUMBER(SEARCH("endocrine", W223)), 1, 0)</f>
        <v>0</v>
      </c>
      <c r="AG223" t="s">
        <v>9</v>
      </c>
      <c r="AH223" t="s">
        <v>10</v>
      </c>
      <c r="AI223" t="s">
        <v>8</v>
      </c>
      <c r="AJ223">
        <f t="shared" si="101"/>
        <v>0</v>
      </c>
      <c r="AK223">
        <f t="shared" si="102"/>
        <v>0</v>
      </c>
      <c r="AL223">
        <f t="shared" si="103"/>
        <v>0</v>
      </c>
      <c r="AM223">
        <f t="shared" si="104"/>
        <v>0</v>
      </c>
      <c r="AN223">
        <f t="shared" si="105"/>
        <v>0</v>
      </c>
      <c r="AO223">
        <f t="shared" si="106"/>
        <v>1</v>
      </c>
      <c r="AP223" t="s">
        <v>8</v>
      </c>
      <c r="AQ223">
        <f t="shared" si="107"/>
        <v>0</v>
      </c>
      <c r="AR223">
        <f t="shared" si="108"/>
        <v>0</v>
      </c>
      <c r="AS223">
        <f t="shared" si="109"/>
        <v>0</v>
      </c>
      <c r="AT223">
        <f t="shared" si="110"/>
        <v>0</v>
      </c>
      <c r="AU223">
        <f t="shared" si="111"/>
        <v>1</v>
      </c>
    </row>
    <row r="224" spans="1:47" x14ac:dyDescent="0.2">
      <c r="A224" t="s">
        <v>254</v>
      </c>
      <c r="B224">
        <v>2023</v>
      </c>
      <c r="C224">
        <v>2016</v>
      </c>
      <c r="D224" t="s">
        <v>265</v>
      </c>
      <c r="E224">
        <v>0</v>
      </c>
      <c r="F224">
        <v>1</v>
      </c>
      <c r="G224">
        <v>0</v>
      </c>
      <c r="H224">
        <v>1253</v>
      </c>
      <c r="I224">
        <v>67</v>
      </c>
      <c r="J224">
        <f t="shared" si="84"/>
        <v>5.3471667996807666</v>
      </c>
      <c r="K224">
        <v>745</v>
      </c>
      <c r="L224">
        <v>441</v>
      </c>
      <c r="M224">
        <v>759</v>
      </c>
      <c r="N224" t="s">
        <v>56</v>
      </c>
      <c r="O224">
        <f t="shared" si="85"/>
        <v>0</v>
      </c>
      <c r="P224">
        <f t="shared" si="86"/>
        <v>1</v>
      </c>
      <c r="Q224">
        <f t="shared" si="87"/>
        <v>0</v>
      </c>
      <c r="R224">
        <f t="shared" si="88"/>
        <v>0</v>
      </c>
      <c r="S224">
        <f t="shared" si="89"/>
        <v>0</v>
      </c>
      <c r="T224">
        <f t="shared" si="90"/>
        <v>0</v>
      </c>
      <c r="U224">
        <f t="shared" si="91"/>
        <v>0</v>
      </c>
      <c r="V224">
        <f t="shared" si="92"/>
        <v>0</v>
      </c>
      <c r="W224" t="str">
        <f>VLOOKUP(A224,[2]!Table2[[NCT Number]:[Intervention type]],11,FALSE)</f>
        <v>Targeted therapy+chemo</v>
      </c>
      <c r="X224">
        <f t="shared" si="93"/>
        <v>0</v>
      </c>
      <c r="Y224">
        <f t="shared" si="94"/>
        <v>1</v>
      </c>
      <c r="Z224">
        <f t="shared" si="95"/>
        <v>0</v>
      </c>
      <c r="AA224">
        <f t="shared" si="96"/>
        <v>0</v>
      </c>
      <c r="AB224">
        <f t="shared" si="97"/>
        <v>0</v>
      </c>
      <c r="AC224">
        <f t="shared" si="98"/>
        <v>0</v>
      </c>
      <c r="AD224">
        <f t="shared" si="99"/>
        <v>1</v>
      </c>
      <c r="AE224">
        <f t="shared" si="100"/>
        <v>0</v>
      </c>
      <c r="AF224">
        <f>IF(ISNUMBER(SEARCH("endocrine", W224)), 1, 0)</f>
        <v>0</v>
      </c>
      <c r="AG224" t="s">
        <v>9</v>
      </c>
      <c r="AH224" t="s">
        <v>10</v>
      </c>
      <c r="AI224" t="s">
        <v>263</v>
      </c>
      <c r="AJ224">
        <f t="shared" si="101"/>
        <v>0</v>
      </c>
      <c r="AK224">
        <f t="shared" si="102"/>
        <v>0</v>
      </c>
      <c r="AL224">
        <f t="shared" si="103"/>
        <v>0</v>
      </c>
      <c r="AM224">
        <f t="shared" si="104"/>
        <v>0</v>
      </c>
      <c r="AN224">
        <f t="shared" si="105"/>
        <v>1</v>
      </c>
      <c r="AO224">
        <f t="shared" si="106"/>
        <v>0</v>
      </c>
      <c r="AP224" t="s">
        <v>12</v>
      </c>
      <c r="AQ224">
        <f t="shared" si="107"/>
        <v>1</v>
      </c>
      <c r="AR224">
        <f t="shared" si="108"/>
        <v>0</v>
      </c>
      <c r="AS224">
        <f t="shared" si="109"/>
        <v>0</v>
      </c>
      <c r="AT224">
        <f t="shared" si="110"/>
        <v>0</v>
      </c>
      <c r="AU224">
        <f t="shared" si="111"/>
        <v>0</v>
      </c>
    </row>
    <row r="225" spans="1:47" x14ac:dyDescent="0.2">
      <c r="A225" t="s">
        <v>255</v>
      </c>
      <c r="B225">
        <v>2022</v>
      </c>
      <c r="C225">
        <v>2014</v>
      </c>
      <c r="D225" t="s">
        <v>264</v>
      </c>
      <c r="E225">
        <v>1</v>
      </c>
      <c r="F225">
        <v>0</v>
      </c>
      <c r="G225">
        <v>0</v>
      </c>
      <c r="H225">
        <v>1274</v>
      </c>
      <c r="I225">
        <v>23</v>
      </c>
      <c r="J225">
        <f t="shared" si="84"/>
        <v>1.805337519623234</v>
      </c>
      <c r="K225">
        <v>810</v>
      </c>
      <c r="L225">
        <v>441</v>
      </c>
      <c r="M225">
        <v>902</v>
      </c>
      <c r="N225" t="s">
        <v>18</v>
      </c>
      <c r="O225">
        <f t="shared" si="85"/>
        <v>0</v>
      </c>
      <c r="P225">
        <f t="shared" si="86"/>
        <v>0</v>
      </c>
      <c r="Q225">
        <f t="shared" si="87"/>
        <v>0</v>
      </c>
      <c r="R225">
        <f t="shared" si="88"/>
        <v>0</v>
      </c>
      <c r="S225">
        <f t="shared" si="89"/>
        <v>0</v>
      </c>
      <c r="T225">
        <f t="shared" si="90"/>
        <v>0</v>
      </c>
      <c r="U225">
        <f t="shared" si="91"/>
        <v>1</v>
      </c>
      <c r="V225">
        <f t="shared" si="92"/>
        <v>0</v>
      </c>
      <c r="W225" t="str">
        <f>VLOOKUP(A225,[2]!Table2[[NCT Number]:[Intervention type]],11,FALSE)</f>
        <v>immunotherapy</v>
      </c>
      <c r="X225">
        <f t="shared" si="93"/>
        <v>1</v>
      </c>
      <c r="Y225">
        <f t="shared" si="94"/>
        <v>0</v>
      </c>
      <c r="Z225">
        <f t="shared" si="95"/>
        <v>0</v>
      </c>
      <c r="AA225">
        <f t="shared" si="96"/>
        <v>0</v>
      </c>
      <c r="AB225">
        <f t="shared" si="97"/>
        <v>0</v>
      </c>
      <c r="AC225">
        <f t="shared" si="98"/>
        <v>0</v>
      </c>
      <c r="AD225">
        <f t="shared" si="99"/>
        <v>0</v>
      </c>
      <c r="AE225">
        <f t="shared" si="100"/>
        <v>0</v>
      </c>
      <c r="AF225">
        <f>IF(ISNUMBER(SEARCH("endocrine", W225)), 1, 0)</f>
        <v>0</v>
      </c>
      <c r="AG225" t="s">
        <v>15</v>
      </c>
      <c r="AH225" t="s">
        <v>10</v>
      </c>
      <c r="AI225" t="s">
        <v>11</v>
      </c>
      <c r="AJ225">
        <f t="shared" si="101"/>
        <v>0</v>
      </c>
      <c r="AK225">
        <f t="shared" si="102"/>
        <v>1</v>
      </c>
      <c r="AL225">
        <f t="shared" si="103"/>
        <v>0</v>
      </c>
      <c r="AM225">
        <f t="shared" si="104"/>
        <v>0</v>
      </c>
      <c r="AN225">
        <f t="shared" si="105"/>
        <v>0</v>
      </c>
      <c r="AO225">
        <f t="shared" si="106"/>
        <v>0</v>
      </c>
      <c r="AP225" t="s">
        <v>12</v>
      </c>
      <c r="AQ225">
        <f t="shared" si="107"/>
        <v>1</v>
      </c>
      <c r="AR225">
        <f t="shared" si="108"/>
        <v>0</v>
      </c>
      <c r="AS225">
        <f t="shared" si="109"/>
        <v>0</v>
      </c>
      <c r="AT225">
        <f t="shared" si="110"/>
        <v>0</v>
      </c>
      <c r="AU225">
        <f t="shared" si="111"/>
        <v>0</v>
      </c>
    </row>
    <row r="226" spans="1:47" x14ac:dyDescent="0.2">
      <c r="A226" t="s">
        <v>256</v>
      </c>
      <c r="B226">
        <v>2023</v>
      </c>
      <c r="C226">
        <v>2017</v>
      </c>
      <c r="D226" t="s">
        <v>265</v>
      </c>
      <c r="E226">
        <v>0</v>
      </c>
      <c r="F226">
        <v>1</v>
      </c>
      <c r="G226">
        <v>0</v>
      </c>
      <c r="H226">
        <v>1301</v>
      </c>
      <c r="I226">
        <v>21</v>
      </c>
      <c r="J226">
        <f t="shared" si="84"/>
        <v>1.6141429669485012</v>
      </c>
      <c r="K226">
        <v>925</v>
      </c>
      <c r="L226">
        <v>355</v>
      </c>
      <c r="M226">
        <v>0</v>
      </c>
      <c r="N226" t="s">
        <v>44</v>
      </c>
      <c r="O226">
        <f t="shared" si="85"/>
        <v>0</v>
      </c>
      <c r="P226">
        <f t="shared" si="86"/>
        <v>1</v>
      </c>
      <c r="Q226">
        <f t="shared" si="87"/>
        <v>0</v>
      </c>
      <c r="R226">
        <f t="shared" si="88"/>
        <v>1</v>
      </c>
      <c r="S226">
        <f t="shared" si="89"/>
        <v>0</v>
      </c>
      <c r="T226">
        <f t="shared" si="90"/>
        <v>0</v>
      </c>
      <c r="U226">
        <f t="shared" si="91"/>
        <v>0</v>
      </c>
      <c r="V226">
        <f t="shared" si="92"/>
        <v>0</v>
      </c>
      <c r="W226" t="str">
        <f>VLOOKUP(A226,[2]!Table2[[NCT Number]:[Intervention type]],11,FALSE)</f>
        <v>Other</v>
      </c>
      <c r="X226">
        <f t="shared" si="93"/>
        <v>0</v>
      </c>
      <c r="Y226">
        <f t="shared" si="94"/>
        <v>0</v>
      </c>
      <c r="Z226">
        <f t="shared" si="95"/>
        <v>0</v>
      </c>
      <c r="AA226">
        <f t="shared" si="96"/>
        <v>0</v>
      </c>
      <c r="AB226">
        <f t="shared" si="97"/>
        <v>1</v>
      </c>
      <c r="AC226">
        <f t="shared" si="98"/>
        <v>0</v>
      </c>
      <c r="AD226">
        <f t="shared" si="99"/>
        <v>0</v>
      </c>
      <c r="AE226">
        <f t="shared" si="100"/>
        <v>0</v>
      </c>
      <c r="AF226">
        <f>IF(ISNUMBER(SEARCH("endocrine", W226)), 1, 0)</f>
        <v>0</v>
      </c>
      <c r="AG226" t="s">
        <v>9</v>
      </c>
      <c r="AH226" t="s">
        <v>10</v>
      </c>
      <c r="AI226" t="s">
        <v>11</v>
      </c>
      <c r="AJ226">
        <f t="shared" si="101"/>
        <v>0</v>
      </c>
      <c r="AK226">
        <f t="shared" si="102"/>
        <v>1</v>
      </c>
      <c r="AL226">
        <f t="shared" si="103"/>
        <v>0</v>
      </c>
      <c r="AM226">
        <f t="shared" si="104"/>
        <v>0</v>
      </c>
      <c r="AN226">
        <f t="shared" si="105"/>
        <v>0</v>
      </c>
      <c r="AO226">
        <f t="shared" si="106"/>
        <v>0</v>
      </c>
      <c r="AP226" t="s">
        <v>12</v>
      </c>
      <c r="AQ226">
        <f t="shared" si="107"/>
        <v>1</v>
      </c>
      <c r="AR226">
        <f t="shared" si="108"/>
        <v>0</v>
      </c>
      <c r="AS226">
        <f t="shared" si="109"/>
        <v>0</v>
      </c>
      <c r="AT226">
        <f t="shared" si="110"/>
        <v>0</v>
      </c>
      <c r="AU226">
        <f t="shared" si="111"/>
        <v>0</v>
      </c>
    </row>
    <row r="227" spans="1:47" x14ac:dyDescent="0.2">
      <c r="A227" t="s">
        <v>257</v>
      </c>
      <c r="B227">
        <v>2023</v>
      </c>
      <c r="C227">
        <v>2016</v>
      </c>
      <c r="D227" t="s">
        <v>265</v>
      </c>
      <c r="E227">
        <v>0</v>
      </c>
      <c r="F227">
        <v>1</v>
      </c>
      <c r="G227">
        <v>0</v>
      </c>
      <c r="H227">
        <v>1305</v>
      </c>
      <c r="I227">
        <v>54</v>
      </c>
      <c r="J227">
        <f t="shared" si="84"/>
        <v>4.1379310344827589</v>
      </c>
      <c r="K227">
        <v>678</v>
      </c>
      <c r="L227">
        <v>573</v>
      </c>
      <c r="M227">
        <v>1305</v>
      </c>
      <c r="N227" t="s">
        <v>30</v>
      </c>
      <c r="O227">
        <f t="shared" si="85"/>
        <v>0</v>
      </c>
      <c r="P227">
        <f t="shared" si="86"/>
        <v>0</v>
      </c>
      <c r="Q227">
        <f t="shared" si="87"/>
        <v>1</v>
      </c>
      <c r="R227">
        <f t="shared" si="88"/>
        <v>0</v>
      </c>
      <c r="S227">
        <f t="shared" si="89"/>
        <v>0</v>
      </c>
      <c r="T227">
        <f t="shared" si="90"/>
        <v>0</v>
      </c>
      <c r="U227">
        <f t="shared" si="91"/>
        <v>0</v>
      </c>
      <c r="V227">
        <f t="shared" si="92"/>
        <v>0</v>
      </c>
      <c r="W227" t="str">
        <f>VLOOKUP(A227,[2]!Table2[[NCT Number]:[Intervention type]],11,FALSE)</f>
        <v>Targeted therapy+chemo</v>
      </c>
      <c r="X227">
        <f t="shared" si="93"/>
        <v>0</v>
      </c>
      <c r="Y227">
        <f t="shared" si="94"/>
        <v>1</v>
      </c>
      <c r="Z227">
        <f t="shared" si="95"/>
        <v>0</v>
      </c>
      <c r="AA227">
        <f t="shared" si="96"/>
        <v>0</v>
      </c>
      <c r="AB227">
        <f t="shared" si="97"/>
        <v>0</v>
      </c>
      <c r="AC227">
        <f t="shared" si="98"/>
        <v>0</v>
      </c>
      <c r="AD227">
        <f t="shared" si="99"/>
        <v>1</v>
      </c>
      <c r="AE227">
        <f t="shared" si="100"/>
        <v>0</v>
      </c>
      <c r="AF227">
        <f>IF(ISNUMBER(SEARCH("endocrine", W227)), 1, 0)</f>
        <v>0</v>
      </c>
      <c r="AG227" t="s">
        <v>9</v>
      </c>
      <c r="AH227" t="s">
        <v>10</v>
      </c>
      <c r="AI227" t="s">
        <v>26</v>
      </c>
      <c r="AJ227">
        <f t="shared" si="101"/>
        <v>1</v>
      </c>
      <c r="AK227">
        <f t="shared" si="102"/>
        <v>0</v>
      </c>
      <c r="AL227">
        <f t="shared" si="103"/>
        <v>0</v>
      </c>
      <c r="AM227">
        <f t="shared" si="104"/>
        <v>0</v>
      </c>
      <c r="AN227">
        <f t="shared" si="105"/>
        <v>0</v>
      </c>
      <c r="AO227">
        <f t="shared" si="106"/>
        <v>0</v>
      </c>
      <c r="AP227" t="s">
        <v>8</v>
      </c>
      <c r="AQ227">
        <f t="shared" si="107"/>
        <v>0</v>
      </c>
      <c r="AR227">
        <f t="shared" si="108"/>
        <v>0</v>
      </c>
      <c r="AS227">
        <f t="shared" si="109"/>
        <v>0</v>
      </c>
      <c r="AT227">
        <f t="shared" si="110"/>
        <v>0</v>
      </c>
      <c r="AU227">
        <f t="shared" si="111"/>
        <v>1</v>
      </c>
    </row>
    <row r="228" spans="1:47" x14ac:dyDescent="0.2">
      <c r="A228" t="s">
        <v>258</v>
      </c>
      <c r="B228">
        <v>2021</v>
      </c>
      <c r="C228">
        <v>2014</v>
      </c>
      <c r="D228" t="s">
        <v>264</v>
      </c>
      <c r="E228">
        <v>1</v>
      </c>
      <c r="F228">
        <v>0</v>
      </c>
      <c r="G228">
        <v>0</v>
      </c>
      <c r="H228">
        <v>1428</v>
      </c>
      <c r="I228">
        <v>105</v>
      </c>
      <c r="J228">
        <f t="shared" si="84"/>
        <v>7.3529411764705879</v>
      </c>
      <c r="K228">
        <v>1266</v>
      </c>
      <c r="L228">
        <v>57</v>
      </c>
      <c r="M228">
        <v>771</v>
      </c>
      <c r="N228" t="s">
        <v>18</v>
      </c>
      <c r="O228">
        <f t="shared" si="85"/>
        <v>0</v>
      </c>
      <c r="P228">
        <f t="shared" si="86"/>
        <v>0</v>
      </c>
      <c r="Q228">
        <f t="shared" si="87"/>
        <v>0</v>
      </c>
      <c r="R228">
        <f t="shared" si="88"/>
        <v>0</v>
      </c>
      <c r="S228">
        <f t="shared" si="89"/>
        <v>0</v>
      </c>
      <c r="T228">
        <f t="shared" si="90"/>
        <v>0</v>
      </c>
      <c r="U228">
        <f t="shared" si="91"/>
        <v>1</v>
      </c>
      <c r="V228">
        <f t="shared" si="92"/>
        <v>0</v>
      </c>
      <c r="W228" t="str">
        <f>VLOOKUP(A228,[2]!Table2[[NCT Number]:[Intervention type]],11,FALSE)</f>
        <v>immunotherapy</v>
      </c>
      <c r="X228">
        <f t="shared" si="93"/>
        <v>1</v>
      </c>
      <c r="Y228">
        <f t="shared" si="94"/>
        <v>0</v>
      </c>
      <c r="Z228">
        <f t="shared" si="95"/>
        <v>0</v>
      </c>
      <c r="AA228">
        <f t="shared" si="96"/>
        <v>0</v>
      </c>
      <c r="AB228">
        <f t="shared" si="97"/>
        <v>0</v>
      </c>
      <c r="AC228">
        <f t="shared" si="98"/>
        <v>0</v>
      </c>
      <c r="AD228">
        <f t="shared" si="99"/>
        <v>0</v>
      </c>
      <c r="AE228">
        <f t="shared" si="100"/>
        <v>0</v>
      </c>
      <c r="AF228">
        <f>IF(ISNUMBER(SEARCH("endocrine", W228)), 1, 0)</f>
        <v>0</v>
      </c>
      <c r="AG228" t="s">
        <v>15</v>
      </c>
      <c r="AH228" t="s">
        <v>10</v>
      </c>
      <c r="AI228" t="s">
        <v>263</v>
      </c>
      <c r="AJ228">
        <f t="shared" si="101"/>
        <v>0</v>
      </c>
      <c r="AK228">
        <f t="shared" si="102"/>
        <v>0</v>
      </c>
      <c r="AL228">
        <f t="shared" si="103"/>
        <v>0</v>
      </c>
      <c r="AM228">
        <f t="shared" si="104"/>
        <v>0</v>
      </c>
      <c r="AN228">
        <f t="shared" si="105"/>
        <v>1</v>
      </c>
      <c r="AO228">
        <f t="shared" si="106"/>
        <v>0</v>
      </c>
      <c r="AP228" t="s">
        <v>12</v>
      </c>
      <c r="AQ228">
        <f t="shared" si="107"/>
        <v>1</v>
      </c>
      <c r="AR228">
        <f t="shared" si="108"/>
        <v>0</v>
      </c>
      <c r="AS228">
        <f t="shared" si="109"/>
        <v>0</v>
      </c>
      <c r="AT228">
        <f t="shared" si="110"/>
        <v>0</v>
      </c>
      <c r="AU228">
        <f t="shared" si="111"/>
        <v>0</v>
      </c>
    </row>
    <row r="229" spans="1:47" x14ac:dyDescent="0.2">
      <c r="A229" t="s">
        <v>259</v>
      </c>
      <c r="B229">
        <v>2019</v>
      </c>
      <c r="C229">
        <v>2014</v>
      </c>
      <c r="D229" t="s">
        <v>264</v>
      </c>
      <c r="E229">
        <v>1</v>
      </c>
      <c r="F229">
        <v>0</v>
      </c>
      <c r="G229">
        <v>0</v>
      </c>
      <c r="H229">
        <v>1509</v>
      </c>
      <c r="I229">
        <v>52</v>
      </c>
      <c r="J229">
        <f t="shared" si="84"/>
        <v>3.4459907223326707</v>
      </c>
      <c r="K229">
        <v>1194</v>
      </c>
      <c r="L229">
        <v>263</v>
      </c>
      <c r="M229">
        <v>1509</v>
      </c>
      <c r="N229" t="s">
        <v>30</v>
      </c>
      <c r="O229">
        <f t="shared" si="85"/>
        <v>0</v>
      </c>
      <c r="P229">
        <f t="shared" si="86"/>
        <v>0</v>
      </c>
      <c r="Q229">
        <f t="shared" si="87"/>
        <v>1</v>
      </c>
      <c r="R229">
        <f t="shared" si="88"/>
        <v>0</v>
      </c>
      <c r="S229">
        <f t="shared" si="89"/>
        <v>0</v>
      </c>
      <c r="T229">
        <f t="shared" si="90"/>
        <v>0</v>
      </c>
      <c r="U229">
        <f t="shared" si="91"/>
        <v>0</v>
      </c>
      <c r="V229">
        <f t="shared" si="92"/>
        <v>0</v>
      </c>
      <c r="W229" t="str">
        <f>VLOOKUP(A229,[2]!Table2[[NCT Number]:[Intervention type]],11,FALSE)</f>
        <v>Targeted therapy</v>
      </c>
      <c r="X229">
        <f t="shared" si="93"/>
        <v>0</v>
      </c>
      <c r="Y229">
        <f t="shared" si="94"/>
        <v>1</v>
      </c>
      <c r="Z229">
        <f t="shared" si="95"/>
        <v>0</v>
      </c>
      <c r="AA229">
        <f t="shared" si="96"/>
        <v>0</v>
      </c>
      <c r="AB229">
        <f t="shared" si="97"/>
        <v>0</v>
      </c>
      <c r="AC229">
        <f t="shared" si="98"/>
        <v>0</v>
      </c>
      <c r="AD229">
        <f t="shared" si="99"/>
        <v>0</v>
      </c>
      <c r="AE229">
        <f t="shared" si="100"/>
        <v>0</v>
      </c>
      <c r="AF229">
        <f>IF(ISNUMBER(SEARCH("endocrine", W229)), 1, 0)</f>
        <v>0</v>
      </c>
      <c r="AG229" t="s">
        <v>15</v>
      </c>
      <c r="AH229" t="s">
        <v>10</v>
      </c>
      <c r="AI229" t="s">
        <v>42</v>
      </c>
      <c r="AJ229">
        <f t="shared" si="101"/>
        <v>0</v>
      </c>
      <c r="AK229">
        <f t="shared" si="102"/>
        <v>0</v>
      </c>
      <c r="AL229">
        <f t="shared" si="103"/>
        <v>1</v>
      </c>
      <c r="AM229">
        <f t="shared" si="104"/>
        <v>0</v>
      </c>
      <c r="AN229">
        <f t="shared" si="105"/>
        <v>0</v>
      </c>
      <c r="AO229">
        <f t="shared" si="106"/>
        <v>0</v>
      </c>
      <c r="AP229" t="s">
        <v>8</v>
      </c>
      <c r="AQ229">
        <f t="shared" si="107"/>
        <v>0</v>
      </c>
      <c r="AR229">
        <f t="shared" si="108"/>
        <v>0</v>
      </c>
      <c r="AS229">
        <f t="shared" si="109"/>
        <v>0</v>
      </c>
      <c r="AT229">
        <f t="shared" si="110"/>
        <v>0</v>
      </c>
      <c r="AU229">
        <f t="shared" si="111"/>
        <v>1</v>
      </c>
    </row>
    <row r="230" spans="1:47" x14ac:dyDescent="0.2">
      <c r="A230" t="s">
        <v>260</v>
      </c>
      <c r="B230">
        <v>2021</v>
      </c>
      <c r="C230">
        <v>2017</v>
      </c>
      <c r="D230" t="s">
        <v>265</v>
      </c>
      <c r="E230">
        <v>0</v>
      </c>
      <c r="F230">
        <v>1</v>
      </c>
      <c r="G230">
        <v>0</v>
      </c>
      <c r="H230">
        <v>1844</v>
      </c>
      <c r="I230">
        <v>5</v>
      </c>
      <c r="J230">
        <f t="shared" si="84"/>
        <v>0.27114967462039047</v>
      </c>
      <c r="K230">
        <v>1818</v>
      </c>
      <c r="L230">
        <v>21</v>
      </c>
      <c r="M230">
        <v>1052</v>
      </c>
      <c r="N230" t="s">
        <v>21</v>
      </c>
      <c r="O230">
        <f t="shared" si="85"/>
        <v>0</v>
      </c>
      <c r="P230">
        <f t="shared" si="86"/>
        <v>0</v>
      </c>
      <c r="Q230">
        <f t="shared" si="87"/>
        <v>0</v>
      </c>
      <c r="R230">
        <f t="shared" si="88"/>
        <v>0</v>
      </c>
      <c r="S230">
        <f t="shared" si="89"/>
        <v>0</v>
      </c>
      <c r="T230">
        <f t="shared" si="90"/>
        <v>0</v>
      </c>
      <c r="U230">
        <f t="shared" si="91"/>
        <v>0</v>
      </c>
      <c r="V230">
        <f t="shared" si="92"/>
        <v>1</v>
      </c>
      <c r="W230" t="str">
        <f>VLOOKUP(A230,[2]!Table2[[NCT Number]:[Intervention type]],11,FALSE)</f>
        <v>immunotherapy</v>
      </c>
      <c r="X230">
        <f t="shared" si="93"/>
        <v>1</v>
      </c>
      <c r="Y230">
        <f t="shared" si="94"/>
        <v>0</v>
      </c>
      <c r="Z230">
        <f t="shared" si="95"/>
        <v>0</v>
      </c>
      <c r="AA230">
        <f t="shared" si="96"/>
        <v>0</v>
      </c>
      <c r="AB230">
        <f t="shared" si="97"/>
        <v>0</v>
      </c>
      <c r="AC230">
        <f t="shared" si="98"/>
        <v>0</v>
      </c>
      <c r="AD230">
        <f t="shared" si="99"/>
        <v>0</v>
      </c>
      <c r="AE230">
        <f t="shared" si="100"/>
        <v>0</v>
      </c>
      <c r="AF230">
        <f>IF(ISNUMBER(SEARCH("endocrine", W230)), 1, 0)</f>
        <v>0</v>
      </c>
      <c r="AG230" t="s">
        <v>9</v>
      </c>
      <c r="AH230" t="s">
        <v>10</v>
      </c>
      <c r="AI230" t="s">
        <v>263</v>
      </c>
      <c r="AJ230">
        <f t="shared" si="101"/>
        <v>0</v>
      </c>
      <c r="AK230">
        <f t="shared" si="102"/>
        <v>0</v>
      </c>
      <c r="AL230">
        <f t="shared" si="103"/>
        <v>0</v>
      </c>
      <c r="AM230">
        <f t="shared" si="104"/>
        <v>0</v>
      </c>
      <c r="AN230">
        <f t="shared" si="105"/>
        <v>1</v>
      </c>
      <c r="AO230">
        <f t="shared" si="106"/>
        <v>0</v>
      </c>
      <c r="AP230" t="s">
        <v>12</v>
      </c>
      <c r="AQ230">
        <f t="shared" si="107"/>
        <v>1</v>
      </c>
      <c r="AR230">
        <f t="shared" si="108"/>
        <v>0</v>
      </c>
      <c r="AS230">
        <f t="shared" si="109"/>
        <v>0</v>
      </c>
      <c r="AT230">
        <f t="shared" si="110"/>
        <v>0</v>
      </c>
      <c r="AU230">
        <f t="shared" si="111"/>
        <v>0</v>
      </c>
    </row>
    <row r="231" spans="1:47" x14ac:dyDescent="0.2">
      <c r="A231" t="s">
        <v>261</v>
      </c>
      <c r="B231">
        <v>2022</v>
      </c>
      <c r="C231">
        <v>2014</v>
      </c>
      <c r="D231" t="s">
        <v>264</v>
      </c>
      <c r="E231">
        <v>1</v>
      </c>
      <c r="F231">
        <v>0</v>
      </c>
      <c r="G231">
        <v>0</v>
      </c>
      <c r="H231">
        <v>1846</v>
      </c>
      <c r="I231">
        <v>23</v>
      </c>
      <c r="J231">
        <f t="shared" si="84"/>
        <v>1.2459371614301191</v>
      </c>
      <c r="K231">
        <v>1123</v>
      </c>
      <c r="L231">
        <v>700</v>
      </c>
      <c r="M231">
        <v>7</v>
      </c>
      <c r="N231" t="s">
        <v>46</v>
      </c>
      <c r="O231">
        <f t="shared" si="85"/>
        <v>1</v>
      </c>
      <c r="P231">
        <f t="shared" si="86"/>
        <v>0</v>
      </c>
      <c r="Q231">
        <f t="shared" si="87"/>
        <v>0</v>
      </c>
      <c r="R231">
        <f t="shared" si="88"/>
        <v>0</v>
      </c>
      <c r="S231">
        <f t="shared" si="89"/>
        <v>0</v>
      </c>
      <c r="T231">
        <f t="shared" si="90"/>
        <v>0</v>
      </c>
      <c r="U231">
        <f t="shared" si="91"/>
        <v>0</v>
      </c>
      <c r="V231">
        <f t="shared" si="92"/>
        <v>0</v>
      </c>
      <c r="W231" t="str">
        <f>VLOOKUP(A231,[2]!Table2[[NCT Number]:[Intervention type]],11,FALSE)</f>
        <v>Targeted therapy</v>
      </c>
      <c r="X231">
        <f t="shared" si="93"/>
        <v>0</v>
      </c>
      <c r="Y231">
        <f t="shared" si="94"/>
        <v>1</v>
      </c>
      <c r="Z231">
        <f t="shared" si="95"/>
        <v>0</v>
      </c>
      <c r="AA231">
        <f t="shared" si="96"/>
        <v>0</v>
      </c>
      <c r="AB231">
        <f t="shared" si="97"/>
        <v>0</v>
      </c>
      <c r="AC231">
        <f t="shared" si="98"/>
        <v>0</v>
      </c>
      <c r="AD231">
        <f t="shared" si="99"/>
        <v>0</v>
      </c>
      <c r="AE231">
        <f t="shared" si="100"/>
        <v>0</v>
      </c>
      <c r="AF231">
        <f>IF(ISNUMBER(SEARCH("endocrine", W231)), 1, 0)</f>
        <v>0</v>
      </c>
      <c r="AG231" t="s">
        <v>9</v>
      </c>
      <c r="AH231" t="s">
        <v>10</v>
      </c>
      <c r="AI231" t="s">
        <v>42</v>
      </c>
      <c r="AJ231">
        <f t="shared" si="101"/>
        <v>0</v>
      </c>
      <c r="AK231">
        <f t="shared" si="102"/>
        <v>0</v>
      </c>
      <c r="AL231">
        <f t="shared" si="103"/>
        <v>1</v>
      </c>
      <c r="AM231">
        <f t="shared" si="104"/>
        <v>0</v>
      </c>
      <c r="AN231">
        <f t="shared" si="105"/>
        <v>0</v>
      </c>
      <c r="AO231">
        <f t="shared" si="106"/>
        <v>0</v>
      </c>
      <c r="AP231" t="s">
        <v>8</v>
      </c>
      <c r="AQ231">
        <f t="shared" si="107"/>
        <v>0</v>
      </c>
      <c r="AR231">
        <f t="shared" si="108"/>
        <v>0</v>
      </c>
      <c r="AS231">
        <f t="shared" si="109"/>
        <v>0</v>
      </c>
      <c r="AT231">
        <f t="shared" si="110"/>
        <v>0</v>
      </c>
      <c r="AU231">
        <f t="shared" si="111"/>
        <v>1</v>
      </c>
    </row>
    <row r="232" spans="1:47" x14ac:dyDescent="0.2">
      <c r="A232" t="s">
        <v>262</v>
      </c>
      <c r="B232">
        <v>2023</v>
      </c>
      <c r="C232">
        <v>2016</v>
      </c>
      <c r="D232" t="s">
        <v>265</v>
      </c>
      <c r="E232">
        <v>0</v>
      </c>
      <c r="F232">
        <v>1</v>
      </c>
      <c r="G232">
        <v>0</v>
      </c>
      <c r="H232">
        <v>3246</v>
      </c>
      <c r="I232">
        <v>29</v>
      </c>
      <c r="J232">
        <f t="shared" si="84"/>
        <v>0.89340727048675295</v>
      </c>
      <c r="K232">
        <v>2553</v>
      </c>
      <c r="L232">
        <v>664</v>
      </c>
      <c r="M232">
        <v>39</v>
      </c>
      <c r="N232" t="s">
        <v>46</v>
      </c>
      <c r="O232">
        <f t="shared" si="85"/>
        <v>1</v>
      </c>
      <c r="P232">
        <f t="shared" si="86"/>
        <v>0</v>
      </c>
      <c r="Q232">
        <f t="shared" si="87"/>
        <v>0</v>
      </c>
      <c r="R232">
        <f t="shared" si="88"/>
        <v>0</v>
      </c>
      <c r="S232">
        <f t="shared" si="89"/>
        <v>0</v>
      </c>
      <c r="T232">
        <f t="shared" si="90"/>
        <v>0</v>
      </c>
      <c r="U232">
        <f t="shared" si="91"/>
        <v>0</v>
      </c>
      <c r="V232">
        <f t="shared" si="92"/>
        <v>0</v>
      </c>
      <c r="W232" t="str">
        <f>VLOOKUP(A232,[2]!Table2[[NCT Number]:[Intervention type]],11,FALSE)</f>
        <v>Targeted therapy</v>
      </c>
      <c r="X232">
        <f t="shared" si="93"/>
        <v>0</v>
      </c>
      <c r="Y232">
        <f t="shared" si="94"/>
        <v>1</v>
      </c>
      <c r="Z232">
        <f t="shared" si="95"/>
        <v>0</v>
      </c>
      <c r="AA232">
        <f t="shared" si="96"/>
        <v>0</v>
      </c>
      <c r="AB232">
        <f t="shared" si="97"/>
        <v>0</v>
      </c>
      <c r="AC232">
        <f t="shared" si="98"/>
        <v>0</v>
      </c>
      <c r="AD232">
        <f t="shared" si="99"/>
        <v>0</v>
      </c>
      <c r="AE232">
        <f t="shared" si="100"/>
        <v>0</v>
      </c>
      <c r="AF232">
        <f>IF(ISNUMBER(SEARCH("endocrine", W232)), 1, 0)</f>
        <v>0</v>
      </c>
      <c r="AG232" t="s">
        <v>9</v>
      </c>
      <c r="AH232" t="s">
        <v>10</v>
      </c>
      <c r="AI232" t="s">
        <v>263</v>
      </c>
      <c r="AJ232">
        <f t="shared" si="101"/>
        <v>0</v>
      </c>
      <c r="AK232">
        <f t="shared" si="102"/>
        <v>0</v>
      </c>
      <c r="AL232">
        <f t="shared" si="103"/>
        <v>0</v>
      </c>
      <c r="AM232">
        <f t="shared" si="104"/>
        <v>0</v>
      </c>
      <c r="AN232">
        <f t="shared" si="105"/>
        <v>1</v>
      </c>
      <c r="AO232">
        <f t="shared" si="106"/>
        <v>0</v>
      </c>
      <c r="AP232" t="s">
        <v>12</v>
      </c>
      <c r="AQ232">
        <f t="shared" si="107"/>
        <v>1</v>
      </c>
      <c r="AR232">
        <f t="shared" si="108"/>
        <v>0</v>
      </c>
      <c r="AS232">
        <f t="shared" si="109"/>
        <v>0</v>
      </c>
      <c r="AT232">
        <f t="shared" si="110"/>
        <v>0</v>
      </c>
      <c r="AU232">
        <f t="shared" si="111"/>
        <v>0</v>
      </c>
    </row>
  </sheetData>
  <autoFilter ref="A1:AP232" xr:uid="{41A6B1DE-2D25-4DC8-80F2-80F6064BC5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C6C7-20CB-1741-85ED-B18B08A5D1BC}">
  <dimension ref="A1:O232"/>
  <sheetViews>
    <sheetView topLeftCell="E1" workbookViewId="0">
      <selection activeCell="E1" sqref="A1:XFD1048576"/>
    </sheetView>
  </sheetViews>
  <sheetFormatPr baseColWidth="10" defaultColWidth="11" defaultRowHeight="16" x14ac:dyDescent="0.2"/>
  <cols>
    <col min="1" max="1" width="13.83203125" customWidth="1"/>
    <col min="2" max="2" width="16.5" customWidth="1"/>
    <col min="3" max="3" width="20.33203125" customWidth="1"/>
    <col min="4" max="4" width="51.5" customWidth="1"/>
    <col min="5" max="5" width="25.83203125" customWidth="1"/>
    <col min="6" max="6" width="28.6640625" customWidth="1"/>
    <col min="7" max="7" width="19.83203125" customWidth="1"/>
    <col min="8" max="8" width="26.83203125" customWidth="1"/>
    <col min="9" max="9" width="16.1640625" customWidth="1"/>
    <col min="11" max="11" width="79" customWidth="1"/>
    <col min="12" max="12" width="53.5" customWidth="1"/>
    <col min="13" max="13" width="33" customWidth="1"/>
    <col min="14" max="14" width="19" customWidth="1"/>
    <col min="15" max="15" width="35.83203125" customWidth="1"/>
  </cols>
  <sheetData>
    <row r="1" spans="1:15" s="1" customFormat="1" ht="34" x14ac:dyDescent="0.2">
      <c r="A1" s="1" t="s">
        <v>0</v>
      </c>
      <c r="B1" s="1" t="s">
        <v>1</v>
      </c>
      <c r="C1" s="1" t="s">
        <v>2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3</v>
      </c>
      <c r="K1" s="1" t="s">
        <v>273</v>
      </c>
      <c r="L1" s="1" t="s">
        <v>274</v>
      </c>
      <c r="M1" s="1" t="s">
        <v>275</v>
      </c>
      <c r="N1" s="1" t="s">
        <v>276</v>
      </c>
      <c r="O1" s="1" t="s">
        <v>277</v>
      </c>
    </row>
    <row r="2" spans="1:15" x14ac:dyDescent="0.2">
      <c r="A2" s="2" t="s">
        <v>5</v>
      </c>
      <c r="B2" s="2">
        <v>2022</v>
      </c>
      <c r="C2" s="2">
        <v>2017</v>
      </c>
      <c r="D2" s="2" t="s">
        <v>265</v>
      </c>
      <c r="E2" s="2">
        <v>10</v>
      </c>
      <c r="F2" s="2">
        <v>1</v>
      </c>
      <c r="G2" s="2">
        <v>9</v>
      </c>
      <c r="H2" s="2">
        <v>0</v>
      </c>
      <c r="I2" s="2">
        <v>6</v>
      </c>
      <c r="J2" s="2" t="s">
        <v>6</v>
      </c>
      <c r="K2" s="2" t="s">
        <v>7</v>
      </c>
      <c r="L2" s="2" t="s">
        <v>9</v>
      </c>
      <c r="M2" s="2" t="s">
        <v>10</v>
      </c>
      <c r="N2" s="2" t="s">
        <v>11</v>
      </c>
      <c r="O2" s="2" t="s">
        <v>12</v>
      </c>
    </row>
    <row r="3" spans="1:15" x14ac:dyDescent="0.2">
      <c r="A3" s="2" t="s">
        <v>13</v>
      </c>
      <c r="B3" s="2">
        <v>2019</v>
      </c>
      <c r="C3" s="2">
        <v>2016</v>
      </c>
      <c r="D3" s="2" t="s">
        <v>265</v>
      </c>
      <c r="E3" s="2">
        <v>11</v>
      </c>
      <c r="F3" s="2">
        <v>0</v>
      </c>
      <c r="G3" s="2">
        <v>11</v>
      </c>
      <c r="H3" s="2">
        <v>0</v>
      </c>
      <c r="I3" s="2">
        <v>5</v>
      </c>
      <c r="J3" s="2" t="s">
        <v>6</v>
      </c>
      <c r="K3" s="2" t="s">
        <v>14</v>
      </c>
      <c r="L3" s="2" t="s">
        <v>15</v>
      </c>
      <c r="M3" s="2" t="s">
        <v>16</v>
      </c>
      <c r="N3" s="2" t="s">
        <v>11</v>
      </c>
      <c r="O3" s="2" t="s">
        <v>8</v>
      </c>
    </row>
    <row r="4" spans="1:15" x14ac:dyDescent="0.2">
      <c r="A4" s="2" t="s">
        <v>17</v>
      </c>
      <c r="B4" s="2">
        <v>2018</v>
      </c>
      <c r="C4" s="2">
        <v>2014</v>
      </c>
      <c r="D4" s="2" t="s">
        <v>264</v>
      </c>
      <c r="E4" s="2">
        <v>12</v>
      </c>
      <c r="F4" s="2" t="s">
        <v>8</v>
      </c>
      <c r="G4" s="2" t="s">
        <v>8</v>
      </c>
      <c r="H4" s="2" t="s">
        <v>8</v>
      </c>
      <c r="I4" s="2">
        <v>7</v>
      </c>
      <c r="J4" s="2" t="s">
        <v>18</v>
      </c>
      <c r="K4" s="2" t="s">
        <v>7</v>
      </c>
      <c r="L4" s="2" t="s">
        <v>15</v>
      </c>
      <c r="M4" s="2" t="s">
        <v>10</v>
      </c>
      <c r="N4" s="2" t="s">
        <v>8</v>
      </c>
      <c r="O4" s="2" t="s">
        <v>8</v>
      </c>
    </row>
    <row r="5" spans="1:15" x14ac:dyDescent="0.2">
      <c r="A5" s="2" t="s">
        <v>19</v>
      </c>
      <c r="B5" s="2">
        <v>2016</v>
      </c>
      <c r="C5" s="2">
        <v>2014</v>
      </c>
      <c r="D5" s="2" t="s">
        <v>264</v>
      </c>
      <c r="E5" s="2">
        <v>14</v>
      </c>
      <c r="F5" s="2" t="s">
        <v>8</v>
      </c>
      <c r="G5" s="2" t="s">
        <v>8</v>
      </c>
      <c r="H5" s="2" t="s">
        <v>8</v>
      </c>
      <c r="I5" s="2">
        <v>7</v>
      </c>
      <c r="J5" s="2" t="s">
        <v>18</v>
      </c>
      <c r="K5" s="2" t="s">
        <v>14</v>
      </c>
      <c r="L5" s="2" t="s">
        <v>15</v>
      </c>
      <c r="M5" s="2" t="s">
        <v>10</v>
      </c>
      <c r="N5" s="2" t="s">
        <v>263</v>
      </c>
      <c r="O5" s="2" t="s">
        <v>8</v>
      </c>
    </row>
    <row r="6" spans="1:15" x14ac:dyDescent="0.2">
      <c r="A6" s="2" t="s">
        <v>20</v>
      </c>
      <c r="B6" s="2">
        <v>2021</v>
      </c>
      <c r="C6" s="2">
        <v>2017</v>
      </c>
      <c r="D6" s="2" t="s">
        <v>265</v>
      </c>
      <c r="E6" s="2">
        <v>20</v>
      </c>
      <c r="F6" s="2">
        <v>0</v>
      </c>
      <c r="G6" s="2">
        <v>18</v>
      </c>
      <c r="H6" s="2" t="s">
        <v>278</v>
      </c>
      <c r="I6" s="2">
        <v>12</v>
      </c>
      <c r="J6" s="2" t="s">
        <v>21</v>
      </c>
      <c r="K6" s="2" t="s">
        <v>7</v>
      </c>
      <c r="L6" s="2" t="s">
        <v>9</v>
      </c>
      <c r="M6" s="2" t="s">
        <v>10</v>
      </c>
      <c r="N6" s="2" t="s">
        <v>263</v>
      </c>
      <c r="O6" s="2" t="s">
        <v>12</v>
      </c>
    </row>
    <row r="7" spans="1:15" x14ac:dyDescent="0.2">
      <c r="A7" s="2" t="s">
        <v>22</v>
      </c>
      <c r="B7" s="2">
        <v>2019</v>
      </c>
      <c r="C7" s="2">
        <v>2014</v>
      </c>
      <c r="D7" s="2" t="s">
        <v>264</v>
      </c>
      <c r="E7" s="2">
        <v>34</v>
      </c>
      <c r="F7" s="2">
        <v>4</v>
      </c>
      <c r="G7" s="2">
        <v>30</v>
      </c>
      <c r="H7" s="2">
        <v>0</v>
      </c>
      <c r="I7" s="2">
        <v>24</v>
      </c>
      <c r="J7" s="2" t="s">
        <v>18</v>
      </c>
      <c r="K7" s="2" t="s">
        <v>14</v>
      </c>
      <c r="L7" s="2" t="s">
        <v>15</v>
      </c>
      <c r="M7" s="2" t="s">
        <v>16</v>
      </c>
      <c r="N7" s="2" t="s">
        <v>263</v>
      </c>
      <c r="O7" s="2" t="s">
        <v>12</v>
      </c>
    </row>
    <row r="8" spans="1:15" x14ac:dyDescent="0.2">
      <c r="A8" s="2" t="s">
        <v>23</v>
      </c>
      <c r="B8" s="2">
        <v>2023</v>
      </c>
      <c r="C8" s="2">
        <v>2016</v>
      </c>
      <c r="D8" s="2" t="s">
        <v>265</v>
      </c>
      <c r="E8" s="2">
        <v>40</v>
      </c>
      <c r="F8" s="2">
        <v>0</v>
      </c>
      <c r="G8" s="2">
        <v>0</v>
      </c>
      <c r="H8" s="2">
        <v>40</v>
      </c>
      <c r="I8" s="2">
        <v>31</v>
      </c>
      <c r="J8" s="2" t="s">
        <v>18</v>
      </c>
      <c r="K8" s="2" t="s">
        <v>7</v>
      </c>
      <c r="L8" s="2" t="s">
        <v>9</v>
      </c>
      <c r="M8" s="2" t="s">
        <v>10</v>
      </c>
      <c r="N8" s="2" t="s">
        <v>263</v>
      </c>
      <c r="O8" s="2" t="s">
        <v>12</v>
      </c>
    </row>
    <row r="9" spans="1:15" x14ac:dyDescent="0.2">
      <c r="A9" s="2" t="s">
        <v>24</v>
      </c>
      <c r="B9" s="2">
        <v>2020</v>
      </c>
      <c r="C9" s="2">
        <v>2017</v>
      </c>
      <c r="D9" s="2" t="s">
        <v>265</v>
      </c>
      <c r="E9" s="2">
        <v>41</v>
      </c>
      <c r="F9" s="2">
        <v>1</v>
      </c>
      <c r="G9" s="2">
        <v>38</v>
      </c>
      <c r="H9" s="2">
        <v>2</v>
      </c>
      <c r="I9" s="2">
        <v>28</v>
      </c>
      <c r="J9" s="2" t="s">
        <v>6</v>
      </c>
      <c r="K9" s="2" t="s">
        <v>7</v>
      </c>
      <c r="L9" s="2" t="s">
        <v>15</v>
      </c>
      <c r="M9" s="2" t="s">
        <v>10</v>
      </c>
      <c r="N9" s="2" t="s">
        <v>11</v>
      </c>
      <c r="O9" s="2" t="s">
        <v>12</v>
      </c>
    </row>
    <row r="10" spans="1:15" x14ac:dyDescent="0.2">
      <c r="A10" s="2" t="s">
        <v>25</v>
      </c>
      <c r="B10" s="2">
        <v>2016</v>
      </c>
      <c r="C10" s="2">
        <v>2014</v>
      </c>
      <c r="D10" s="2" t="s">
        <v>264</v>
      </c>
      <c r="E10" s="2">
        <v>51</v>
      </c>
      <c r="F10" s="2" t="s">
        <v>8</v>
      </c>
      <c r="G10" s="2" t="s">
        <v>8</v>
      </c>
      <c r="H10" s="2" t="s">
        <v>8</v>
      </c>
      <c r="I10" s="2">
        <v>27</v>
      </c>
      <c r="J10" s="2" t="s">
        <v>6</v>
      </c>
      <c r="K10" s="2" t="s">
        <v>14</v>
      </c>
      <c r="L10" s="2" t="s">
        <v>15</v>
      </c>
      <c r="M10" s="2" t="s">
        <v>10</v>
      </c>
      <c r="N10" s="2" t="s">
        <v>26</v>
      </c>
      <c r="O10" s="2" t="s">
        <v>8</v>
      </c>
    </row>
    <row r="11" spans="1:15" x14ac:dyDescent="0.2">
      <c r="A11" s="2" t="s">
        <v>27</v>
      </c>
      <c r="B11" s="2">
        <v>2022</v>
      </c>
      <c r="C11" s="2">
        <v>2019</v>
      </c>
      <c r="D11" s="2" t="s">
        <v>266</v>
      </c>
      <c r="E11" s="2">
        <v>60</v>
      </c>
      <c r="F11" s="2">
        <v>5</v>
      </c>
      <c r="G11" s="2">
        <v>55</v>
      </c>
      <c r="H11" s="2">
        <v>0</v>
      </c>
      <c r="I11" s="2">
        <v>29</v>
      </c>
      <c r="J11" s="2" t="s">
        <v>6</v>
      </c>
      <c r="K11" s="2" t="s">
        <v>14</v>
      </c>
      <c r="L11" s="2" t="s">
        <v>9</v>
      </c>
      <c r="M11" s="2" t="s">
        <v>10</v>
      </c>
      <c r="N11" s="2" t="s">
        <v>11</v>
      </c>
      <c r="O11" s="2" t="s">
        <v>12</v>
      </c>
    </row>
    <row r="12" spans="1:15" x14ac:dyDescent="0.2">
      <c r="A12" s="2" t="s">
        <v>28</v>
      </c>
      <c r="B12" s="2">
        <v>2021</v>
      </c>
      <c r="C12" s="2">
        <v>2017</v>
      </c>
      <c r="D12" s="2" t="s">
        <v>265</v>
      </c>
      <c r="E12" s="2">
        <v>69</v>
      </c>
      <c r="F12" s="2">
        <v>2</v>
      </c>
      <c r="G12" s="2">
        <v>52</v>
      </c>
      <c r="H12" s="2">
        <v>15</v>
      </c>
      <c r="I12" s="2">
        <v>41</v>
      </c>
      <c r="J12" s="2" t="s">
        <v>6</v>
      </c>
      <c r="K12" s="2" t="s">
        <v>7</v>
      </c>
      <c r="L12" s="2" t="s">
        <v>15</v>
      </c>
      <c r="M12" s="2" t="s">
        <v>10</v>
      </c>
      <c r="N12" s="2" t="s">
        <v>26</v>
      </c>
      <c r="O12" s="2" t="s">
        <v>8</v>
      </c>
    </row>
    <row r="13" spans="1:15" x14ac:dyDescent="0.2">
      <c r="A13" s="2" t="s">
        <v>29</v>
      </c>
      <c r="B13" s="2">
        <v>2020</v>
      </c>
      <c r="C13" s="2">
        <v>2017</v>
      </c>
      <c r="D13" s="2" t="s">
        <v>265</v>
      </c>
      <c r="E13" s="2">
        <v>71</v>
      </c>
      <c r="F13" s="2">
        <v>4</v>
      </c>
      <c r="G13" s="2">
        <v>62</v>
      </c>
      <c r="H13" s="2">
        <v>5</v>
      </c>
      <c r="I13" s="2">
        <v>48</v>
      </c>
      <c r="J13" s="2" t="s">
        <v>30</v>
      </c>
      <c r="K13" s="2" t="s">
        <v>31</v>
      </c>
      <c r="L13" s="2" t="s">
        <v>15</v>
      </c>
      <c r="M13" s="2" t="s">
        <v>10</v>
      </c>
      <c r="N13" s="2" t="s">
        <v>32</v>
      </c>
      <c r="O13" s="2" t="s">
        <v>8</v>
      </c>
    </row>
    <row r="14" spans="1:15" x14ac:dyDescent="0.2">
      <c r="A14" s="2" t="s">
        <v>33</v>
      </c>
      <c r="B14" s="2">
        <v>2019</v>
      </c>
      <c r="C14" s="2">
        <v>2015</v>
      </c>
      <c r="D14" s="2" t="s">
        <v>264</v>
      </c>
      <c r="E14" s="2">
        <v>71</v>
      </c>
      <c r="F14" s="2">
        <v>0</v>
      </c>
      <c r="G14" s="2">
        <v>0</v>
      </c>
      <c r="H14" s="2">
        <v>71</v>
      </c>
      <c r="I14" s="2">
        <v>47</v>
      </c>
      <c r="J14" s="2" t="s">
        <v>6</v>
      </c>
      <c r="K14" s="2" t="s">
        <v>31</v>
      </c>
      <c r="L14" s="2" t="s">
        <v>15</v>
      </c>
      <c r="M14" s="2" t="s">
        <v>10</v>
      </c>
      <c r="N14" s="2" t="s">
        <v>263</v>
      </c>
      <c r="O14" s="2" t="s">
        <v>12</v>
      </c>
    </row>
    <row r="15" spans="1:15" x14ac:dyDescent="0.2">
      <c r="A15" s="2" t="s">
        <v>34</v>
      </c>
      <c r="B15" s="2">
        <v>2019</v>
      </c>
      <c r="C15" s="2">
        <v>2017</v>
      </c>
      <c r="D15" s="2" t="s">
        <v>265</v>
      </c>
      <c r="E15" s="2">
        <v>74</v>
      </c>
      <c r="F15" s="2">
        <v>2</v>
      </c>
      <c r="G15" s="2">
        <v>36</v>
      </c>
      <c r="H15" s="2">
        <v>36</v>
      </c>
      <c r="I15" s="2">
        <v>65</v>
      </c>
      <c r="J15" s="2" t="s">
        <v>35</v>
      </c>
      <c r="K15" s="2" t="s">
        <v>7</v>
      </c>
      <c r="L15" s="2" t="s">
        <v>9</v>
      </c>
      <c r="M15" s="2" t="s">
        <v>10</v>
      </c>
      <c r="N15" s="2" t="s">
        <v>11</v>
      </c>
      <c r="O15" s="2" t="s">
        <v>12</v>
      </c>
    </row>
    <row r="16" spans="1:15" x14ac:dyDescent="0.2">
      <c r="A16" s="2" t="s">
        <v>36</v>
      </c>
      <c r="B16" s="2">
        <v>2020</v>
      </c>
      <c r="C16" s="2">
        <v>2017</v>
      </c>
      <c r="D16" s="2" t="s">
        <v>265</v>
      </c>
      <c r="E16" s="2">
        <v>84</v>
      </c>
      <c r="F16" s="2" t="s">
        <v>8</v>
      </c>
      <c r="G16" s="2">
        <v>67</v>
      </c>
      <c r="H16" s="2">
        <v>17</v>
      </c>
      <c r="I16" s="2">
        <v>72</v>
      </c>
      <c r="J16" s="2" t="s">
        <v>30</v>
      </c>
      <c r="K16" s="2" t="s">
        <v>14</v>
      </c>
      <c r="L16" s="2" t="s">
        <v>9</v>
      </c>
      <c r="M16" s="2" t="s">
        <v>10</v>
      </c>
      <c r="N16" s="2" t="s">
        <v>263</v>
      </c>
      <c r="O16" s="2" t="s">
        <v>8</v>
      </c>
    </row>
    <row r="17" spans="1:15" x14ac:dyDescent="0.2">
      <c r="A17" s="2" t="s">
        <v>37</v>
      </c>
      <c r="B17" s="2">
        <v>2022</v>
      </c>
      <c r="C17" s="2">
        <v>2014</v>
      </c>
      <c r="D17" s="2" t="s">
        <v>264</v>
      </c>
      <c r="E17" s="2">
        <v>87</v>
      </c>
      <c r="F17" s="2">
        <v>9</v>
      </c>
      <c r="G17" s="2">
        <v>70</v>
      </c>
      <c r="H17" s="2">
        <v>8</v>
      </c>
      <c r="I17" s="2">
        <v>27</v>
      </c>
      <c r="J17" s="2" t="s">
        <v>21</v>
      </c>
      <c r="K17" s="2" t="s">
        <v>14</v>
      </c>
      <c r="L17" s="2" t="s">
        <v>15</v>
      </c>
      <c r="M17" s="2" t="s">
        <v>16</v>
      </c>
      <c r="N17" s="2" t="s">
        <v>11</v>
      </c>
      <c r="O17" s="2" t="s">
        <v>12</v>
      </c>
    </row>
    <row r="18" spans="1:15" x14ac:dyDescent="0.2">
      <c r="A18" s="2" t="s">
        <v>38</v>
      </c>
      <c r="B18" s="2">
        <v>2019</v>
      </c>
      <c r="C18" s="2">
        <v>2017</v>
      </c>
      <c r="D18" s="2" t="s">
        <v>265</v>
      </c>
      <c r="E18" s="2">
        <v>93</v>
      </c>
      <c r="F18" s="2" t="s">
        <v>8</v>
      </c>
      <c r="G18" s="2">
        <v>70</v>
      </c>
      <c r="H18" s="2">
        <v>23</v>
      </c>
      <c r="I18" s="2">
        <v>71</v>
      </c>
      <c r="J18" s="2" t="s">
        <v>30</v>
      </c>
      <c r="K18" s="2" t="s">
        <v>7</v>
      </c>
      <c r="L18" s="2" t="s">
        <v>9</v>
      </c>
      <c r="M18" s="2" t="s">
        <v>10</v>
      </c>
      <c r="N18" s="2" t="s">
        <v>263</v>
      </c>
      <c r="O18" s="2" t="s">
        <v>39</v>
      </c>
    </row>
    <row r="19" spans="1:15" x14ac:dyDescent="0.2">
      <c r="A19" s="2" t="s">
        <v>40</v>
      </c>
      <c r="B19" s="2">
        <v>2020</v>
      </c>
      <c r="C19" s="2">
        <v>2014</v>
      </c>
      <c r="D19" s="2" t="s">
        <v>264</v>
      </c>
      <c r="E19" s="2">
        <v>98</v>
      </c>
      <c r="F19" s="2">
        <v>7</v>
      </c>
      <c r="G19" s="2">
        <v>82</v>
      </c>
      <c r="H19" s="2">
        <v>9</v>
      </c>
      <c r="I19" s="2">
        <v>61</v>
      </c>
      <c r="J19" s="2" t="s">
        <v>18</v>
      </c>
      <c r="K19" s="2" t="s">
        <v>7</v>
      </c>
      <c r="L19" s="2" t="s">
        <v>15</v>
      </c>
      <c r="M19" s="2" t="s">
        <v>10</v>
      </c>
      <c r="N19" s="2" t="s">
        <v>263</v>
      </c>
      <c r="O19" s="2" t="s">
        <v>12</v>
      </c>
    </row>
    <row r="20" spans="1:15" x14ac:dyDescent="0.2">
      <c r="A20" s="2" t="s">
        <v>41</v>
      </c>
      <c r="B20" s="2">
        <v>2023</v>
      </c>
      <c r="C20" s="2">
        <v>2013</v>
      </c>
      <c r="D20" s="2" t="s">
        <v>264</v>
      </c>
      <c r="E20" s="2">
        <v>99</v>
      </c>
      <c r="F20" s="2">
        <v>0</v>
      </c>
      <c r="G20" s="2">
        <v>91</v>
      </c>
      <c r="H20" s="2">
        <v>8</v>
      </c>
      <c r="I20" s="2">
        <v>62</v>
      </c>
      <c r="J20" s="2" t="s">
        <v>6</v>
      </c>
      <c r="K20" s="2" t="s">
        <v>14</v>
      </c>
      <c r="L20" s="2" t="s">
        <v>9</v>
      </c>
      <c r="M20" s="2" t="s">
        <v>10</v>
      </c>
      <c r="N20" s="2" t="s">
        <v>42</v>
      </c>
      <c r="O20" s="2" t="s">
        <v>8</v>
      </c>
    </row>
    <row r="21" spans="1:15" x14ac:dyDescent="0.2">
      <c r="A21" s="2" t="s">
        <v>43</v>
      </c>
      <c r="B21" s="2">
        <v>2023</v>
      </c>
      <c r="C21" s="2">
        <v>2018</v>
      </c>
      <c r="D21" s="2" t="s">
        <v>265</v>
      </c>
      <c r="E21" s="2">
        <v>100</v>
      </c>
      <c r="F21" s="2">
        <v>0</v>
      </c>
      <c r="G21" s="2">
        <v>0</v>
      </c>
      <c r="H21" s="2">
        <v>100</v>
      </c>
      <c r="I21" s="2">
        <v>0</v>
      </c>
      <c r="J21" s="2" t="s">
        <v>44</v>
      </c>
      <c r="K21" s="2" t="s">
        <v>14</v>
      </c>
      <c r="L21" s="2" t="s">
        <v>9</v>
      </c>
      <c r="M21" s="2" t="s">
        <v>10</v>
      </c>
      <c r="N21" s="2" t="s">
        <v>11</v>
      </c>
      <c r="O21" s="2" t="s">
        <v>12</v>
      </c>
    </row>
    <row r="22" spans="1:15" x14ac:dyDescent="0.2">
      <c r="A22" s="2" t="s">
        <v>45</v>
      </c>
      <c r="B22" s="2">
        <v>2019</v>
      </c>
      <c r="C22" s="2">
        <v>2013</v>
      </c>
      <c r="D22" s="2" t="s">
        <v>264</v>
      </c>
      <c r="E22" s="2">
        <v>102</v>
      </c>
      <c r="F22" s="2">
        <v>1</v>
      </c>
      <c r="G22" s="2">
        <v>98</v>
      </c>
      <c r="H22" s="2">
        <v>3</v>
      </c>
      <c r="I22" s="2">
        <v>1</v>
      </c>
      <c r="J22" s="2" t="s">
        <v>46</v>
      </c>
      <c r="K22" s="2" t="s">
        <v>14</v>
      </c>
      <c r="L22" s="2" t="s">
        <v>15</v>
      </c>
      <c r="M22" s="2" t="s">
        <v>10</v>
      </c>
      <c r="N22" s="2" t="s">
        <v>263</v>
      </c>
      <c r="O22" s="2" t="s">
        <v>8</v>
      </c>
    </row>
    <row r="23" spans="1:15" x14ac:dyDescent="0.2">
      <c r="A23" s="2" t="s">
        <v>47</v>
      </c>
      <c r="B23" s="2">
        <v>2019</v>
      </c>
      <c r="C23" s="2">
        <v>2016</v>
      </c>
      <c r="D23" s="2" t="s">
        <v>265</v>
      </c>
      <c r="E23" s="2">
        <v>106</v>
      </c>
      <c r="F23" s="2">
        <v>1</v>
      </c>
      <c r="G23" s="2">
        <v>98</v>
      </c>
      <c r="H23" s="2">
        <v>7</v>
      </c>
      <c r="I23" s="2">
        <v>62</v>
      </c>
      <c r="J23" s="2" t="s">
        <v>21</v>
      </c>
      <c r="K23" s="2" t="s">
        <v>7</v>
      </c>
      <c r="L23" s="2" t="s">
        <v>9</v>
      </c>
      <c r="M23" s="2" t="s">
        <v>10</v>
      </c>
      <c r="N23" s="2" t="s">
        <v>11</v>
      </c>
      <c r="O23" s="2" t="s">
        <v>12</v>
      </c>
    </row>
    <row r="24" spans="1:15" x14ac:dyDescent="0.2">
      <c r="A24" s="2" t="s">
        <v>48</v>
      </c>
      <c r="B24" s="2">
        <v>2023</v>
      </c>
      <c r="C24" s="2">
        <v>2015</v>
      </c>
      <c r="D24" s="2" t="s">
        <v>264</v>
      </c>
      <c r="E24" s="2">
        <v>111</v>
      </c>
      <c r="F24" s="2">
        <v>3</v>
      </c>
      <c r="G24" s="2">
        <v>96</v>
      </c>
      <c r="H24" s="2">
        <v>12</v>
      </c>
      <c r="I24" s="2">
        <v>53</v>
      </c>
      <c r="J24" s="2" t="s">
        <v>6</v>
      </c>
      <c r="K24" s="2" t="s">
        <v>7</v>
      </c>
      <c r="L24" s="2" t="s">
        <v>15</v>
      </c>
      <c r="M24" s="2" t="s">
        <v>10</v>
      </c>
      <c r="N24" s="2" t="s">
        <v>8</v>
      </c>
      <c r="O24" s="2" t="s">
        <v>8</v>
      </c>
    </row>
    <row r="25" spans="1:15" x14ac:dyDescent="0.2">
      <c r="A25" s="2" t="s">
        <v>49</v>
      </c>
      <c r="B25" s="2">
        <v>2018</v>
      </c>
      <c r="C25" s="2">
        <v>2015</v>
      </c>
      <c r="D25" s="2" t="s">
        <v>264</v>
      </c>
      <c r="E25" s="2">
        <v>119</v>
      </c>
      <c r="F25" s="2" t="s">
        <v>8</v>
      </c>
      <c r="G25" s="2">
        <v>99</v>
      </c>
      <c r="H25" s="2">
        <v>20</v>
      </c>
      <c r="I25" s="2">
        <v>66</v>
      </c>
      <c r="J25" s="2" t="s">
        <v>18</v>
      </c>
      <c r="K25" s="2" t="s">
        <v>14</v>
      </c>
      <c r="L25" s="2" t="s">
        <v>15</v>
      </c>
      <c r="M25" s="2" t="s">
        <v>10</v>
      </c>
      <c r="N25" s="2" t="s">
        <v>32</v>
      </c>
      <c r="O25" s="2" t="s">
        <v>50</v>
      </c>
    </row>
    <row r="26" spans="1:15" x14ac:dyDescent="0.2">
      <c r="A26" s="2" t="s">
        <v>51</v>
      </c>
      <c r="B26" s="2">
        <v>2023</v>
      </c>
      <c r="C26" s="2">
        <v>2018</v>
      </c>
      <c r="D26" s="2" t="s">
        <v>265</v>
      </c>
      <c r="E26" s="2">
        <v>120</v>
      </c>
      <c r="F26" s="2">
        <v>7</v>
      </c>
      <c r="G26" s="2">
        <v>110</v>
      </c>
      <c r="H26" s="2">
        <v>3</v>
      </c>
      <c r="I26" s="2">
        <v>82</v>
      </c>
      <c r="J26" s="2" t="s">
        <v>6</v>
      </c>
      <c r="K26" s="2" t="s">
        <v>14</v>
      </c>
      <c r="L26" s="2" t="s">
        <v>9</v>
      </c>
      <c r="M26" s="2" t="s">
        <v>10</v>
      </c>
      <c r="N26" s="2" t="s">
        <v>11</v>
      </c>
      <c r="O26" s="2" t="s">
        <v>12</v>
      </c>
    </row>
    <row r="27" spans="1:15" x14ac:dyDescent="0.2">
      <c r="A27" s="2" t="s">
        <v>52</v>
      </c>
      <c r="B27" s="2">
        <v>2023</v>
      </c>
      <c r="C27" s="2">
        <v>2017</v>
      </c>
      <c r="D27" s="2" t="s">
        <v>265</v>
      </c>
      <c r="E27" s="2">
        <v>120</v>
      </c>
      <c r="F27" s="2">
        <v>0</v>
      </c>
      <c r="G27" s="2">
        <v>0</v>
      </c>
      <c r="H27" s="2">
        <v>120</v>
      </c>
      <c r="I27" s="2">
        <v>56</v>
      </c>
      <c r="J27" s="2" t="s">
        <v>6</v>
      </c>
      <c r="K27" s="2" t="s">
        <v>7</v>
      </c>
      <c r="L27" s="2" t="s">
        <v>15</v>
      </c>
      <c r="M27" s="2" t="s">
        <v>10</v>
      </c>
      <c r="N27" s="2" t="s">
        <v>263</v>
      </c>
      <c r="O27" s="2" t="s">
        <v>12</v>
      </c>
    </row>
    <row r="28" spans="1:15" x14ac:dyDescent="0.2">
      <c r="A28" s="2" t="s">
        <v>53</v>
      </c>
      <c r="B28" s="2">
        <v>2021</v>
      </c>
      <c r="C28" s="2">
        <v>2015</v>
      </c>
      <c r="D28" s="2" t="s">
        <v>264</v>
      </c>
      <c r="E28" s="2">
        <v>120</v>
      </c>
      <c r="F28" s="2">
        <v>4</v>
      </c>
      <c r="G28" s="2">
        <v>106</v>
      </c>
      <c r="H28" s="2">
        <v>10</v>
      </c>
      <c r="I28" s="2">
        <v>49</v>
      </c>
      <c r="J28" s="2" t="s">
        <v>56</v>
      </c>
      <c r="K28" s="2" t="s">
        <v>14</v>
      </c>
      <c r="L28" s="2" t="s">
        <v>15</v>
      </c>
      <c r="M28" s="2" t="s">
        <v>10</v>
      </c>
      <c r="N28" s="2" t="s">
        <v>42</v>
      </c>
      <c r="O28" s="2" t="s">
        <v>8</v>
      </c>
    </row>
    <row r="29" spans="1:15" x14ac:dyDescent="0.2">
      <c r="A29" s="2" t="s">
        <v>54</v>
      </c>
      <c r="B29" s="2">
        <v>2021</v>
      </c>
      <c r="C29" s="2">
        <v>2017</v>
      </c>
      <c r="D29" s="2" t="s">
        <v>265</v>
      </c>
      <c r="E29" s="2">
        <v>123</v>
      </c>
      <c r="F29" s="2" t="s">
        <v>8</v>
      </c>
      <c r="G29" s="2" t="s">
        <v>8</v>
      </c>
      <c r="H29" s="2" t="s">
        <v>8</v>
      </c>
      <c r="I29" s="2">
        <v>67</v>
      </c>
      <c r="J29" s="2" t="s">
        <v>6</v>
      </c>
      <c r="K29" s="2" t="s">
        <v>31</v>
      </c>
      <c r="L29" s="2" t="s">
        <v>9</v>
      </c>
      <c r="M29" s="2" t="s">
        <v>10</v>
      </c>
      <c r="N29" s="2" t="s">
        <v>11</v>
      </c>
      <c r="O29" s="2" t="s">
        <v>12</v>
      </c>
    </row>
    <row r="30" spans="1:15" x14ac:dyDescent="0.2">
      <c r="A30" s="2" t="s">
        <v>55</v>
      </c>
      <c r="B30" s="2">
        <v>2019</v>
      </c>
      <c r="C30" s="2">
        <v>2016</v>
      </c>
      <c r="D30" s="2" t="s">
        <v>265</v>
      </c>
      <c r="E30" s="2">
        <v>123</v>
      </c>
      <c r="F30" s="2">
        <v>6</v>
      </c>
      <c r="G30" s="2">
        <v>82</v>
      </c>
      <c r="H30" s="2">
        <v>35</v>
      </c>
      <c r="I30" s="2">
        <v>68</v>
      </c>
      <c r="J30" s="2" t="s">
        <v>56</v>
      </c>
      <c r="K30" s="2" t="s">
        <v>14</v>
      </c>
      <c r="L30" s="2" t="s">
        <v>15</v>
      </c>
      <c r="M30" s="2" t="s">
        <v>10</v>
      </c>
      <c r="N30" s="2" t="s">
        <v>263</v>
      </c>
      <c r="O30" s="2" t="s">
        <v>12</v>
      </c>
    </row>
    <row r="31" spans="1:15" x14ac:dyDescent="0.2">
      <c r="A31" s="2" t="s">
        <v>57</v>
      </c>
      <c r="B31" s="2">
        <v>2023</v>
      </c>
      <c r="C31" s="2">
        <v>2016</v>
      </c>
      <c r="D31" s="2" t="s">
        <v>265</v>
      </c>
      <c r="E31" s="2">
        <v>123</v>
      </c>
      <c r="F31" s="2">
        <v>0</v>
      </c>
      <c r="G31" s="2">
        <v>0</v>
      </c>
      <c r="H31" s="2">
        <v>123</v>
      </c>
      <c r="I31" s="2">
        <v>115</v>
      </c>
      <c r="J31" s="2" t="s">
        <v>56</v>
      </c>
      <c r="K31" s="2" t="s">
        <v>7</v>
      </c>
      <c r="L31" s="2" t="s">
        <v>15</v>
      </c>
      <c r="M31" s="2" t="s">
        <v>10</v>
      </c>
      <c r="N31" s="2" t="s">
        <v>263</v>
      </c>
      <c r="O31" s="2" t="s">
        <v>12</v>
      </c>
    </row>
    <row r="32" spans="1:15" x14ac:dyDescent="0.2">
      <c r="A32" s="2" t="s">
        <v>58</v>
      </c>
      <c r="B32" s="2">
        <v>2023</v>
      </c>
      <c r="C32" s="2">
        <v>2017</v>
      </c>
      <c r="D32" s="2" t="s">
        <v>265</v>
      </c>
      <c r="E32" s="2">
        <v>125</v>
      </c>
      <c r="F32" s="2">
        <v>0</v>
      </c>
      <c r="G32" s="2">
        <v>0</v>
      </c>
      <c r="H32" s="2">
        <v>125</v>
      </c>
      <c r="I32" s="2">
        <v>119</v>
      </c>
      <c r="J32" s="2" t="s">
        <v>18</v>
      </c>
      <c r="K32" s="2" t="s">
        <v>7</v>
      </c>
      <c r="L32" s="2" t="s">
        <v>9</v>
      </c>
      <c r="M32" s="2" t="s">
        <v>10</v>
      </c>
      <c r="N32" s="2" t="s">
        <v>263</v>
      </c>
      <c r="O32" s="2" t="s">
        <v>39</v>
      </c>
    </row>
    <row r="33" spans="1:15" x14ac:dyDescent="0.2">
      <c r="A33" s="2" t="s">
        <v>59</v>
      </c>
      <c r="B33" s="2">
        <v>2022</v>
      </c>
      <c r="C33" s="2">
        <v>2015</v>
      </c>
      <c r="D33" s="2" t="s">
        <v>264</v>
      </c>
      <c r="E33" s="2">
        <v>126</v>
      </c>
      <c r="F33" s="2">
        <v>13</v>
      </c>
      <c r="G33" s="2">
        <v>111</v>
      </c>
      <c r="H33" s="2">
        <v>2</v>
      </c>
      <c r="I33" s="2">
        <v>90</v>
      </c>
      <c r="J33" s="2" t="s">
        <v>6</v>
      </c>
      <c r="K33" s="2" t="s">
        <v>7</v>
      </c>
      <c r="L33" s="2" t="s">
        <v>9</v>
      </c>
      <c r="M33" s="2" t="s">
        <v>10</v>
      </c>
      <c r="N33" s="2" t="s">
        <v>11</v>
      </c>
      <c r="O33" s="2" t="s">
        <v>12</v>
      </c>
    </row>
    <row r="34" spans="1:15" x14ac:dyDescent="0.2">
      <c r="A34" s="2" t="s">
        <v>60</v>
      </c>
      <c r="B34" s="2">
        <v>2020</v>
      </c>
      <c r="C34" s="2">
        <v>2016</v>
      </c>
      <c r="D34" s="2" t="s">
        <v>265</v>
      </c>
      <c r="E34" s="2">
        <v>126</v>
      </c>
      <c r="F34" s="2">
        <v>0</v>
      </c>
      <c r="G34" s="2">
        <v>126</v>
      </c>
      <c r="H34" s="2">
        <v>0</v>
      </c>
      <c r="I34" s="2">
        <v>80</v>
      </c>
      <c r="J34" s="2" t="s">
        <v>56</v>
      </c>
      <c r="K34" s="2" t="s">
        <v>14</v>
      </c>
      <c r="L34" s="2" t="s">
        <v>15</v>
      </c>
      <c r="M34" s="2" t="s">
        <v>10</v>
      </c>
      <c r="N34" s="2" t="s">
        <v>42</v>
      </c>
      <c r="O34" s="2" t="s">
        <v>8</v>
      </c>
    </row>
    <row r="35" spans="1:15" x14ac:dyDescent="0.2">
      <c r="A35" s="2" t="s">
        <v>61</v>
      </c>
      <c r="B35" s="2">
        <v>2019</v>
      </c>
      <c r="C35" s="2">
        <v>2017</v>
      </c>
      <c r="D35" s="2" t="s">
        <v>265</v>
      </c>
      <c r="E35" s="2">
        <v>128</v>
      </c>
      <c r="F35" s="2" t="s">
        <v>8</v>
      </c>
      <c r="G35" s="2" t="s">
        <v>8</v>
      </c>
      <c r="H35" s="2" t="s">
        <v>8</v>
      </c>
      <c r="I35" s="2">
        <v>51</v>
      </c>
      <c r="J35" s="2" t="s">
        <v>21</v>
      </c>
      <c r="K35" s="2" t="s">
        <v>14</v>
      </c>
      <c r="L35" s="2" t="s">
        <v>9</v>
      </c>
      <c r="M35" s="2" t="s">
        <v>10</v>
      </c>
      <c r="N35" s="2" t="s">
        <v>263</v>
      </c>
      <c r="O35" s="2" t="s">
        <v>12</v>
      </c>
    </row>
    <row r="36" spans="1:15" x14ac:dyDescent="0.2">
      <c r="A36" s="2" t="s">
        <v>62</v>
      </c>
      <c r="B36" s="2">
        <v>2022</v>
      </c>
      <c r="C36" s="2">
        <v>2018</v>
      </c>
      <c r="D36" s="2" t="s">
        <v>265</v>
      </c>
      <c r="E36" s="2">
        <v>129</v>
      </c>
      <c r="F36" s="2">
        <v>10</v>
      </c>
      <c r="G36" s="2">
        <v>97</v>
      </c>
      <c r="H36" s="2">
        <v>22</v>
      </c>
      <c r="I36" s="2">
        <v>73</v>
      </c>
      <c r="J36" s="2" t="s">
        <v>56</v>
      </c>
      <c r="K36" s="2" t="s">
        <v>14</v>
      </c>
      <c r="L36" s="2" t="s">
        <v>15</v>
      </c>
      <c r="M36" s="2" t="s">
        <v>10</v>
      </c>
      <c r="N36" s="2" t="s">
        <v>263</v>
      </c>
      <c r="O36" s="2" t="s">
        <v>12</v>
      </c>
    </row>
    <row r="37" spans="1:15" x14ac:dyDescent="0.2">
      <c r="A37" s="2" t="s">
        <v>63</v>
      </c>
      <c r="B37" s="2">
        <v>2017</v>
      </c>
      <c r="C37" s="2">
        <v>2014</v>
      </c>
      <c r="D37" s="2" t="s">
        <v>264</v>
      </c>
      <c r="E37" s="2">
        <v>129</v>
      </c>
      <c r="F37" s="2">
        <v>0</v>
      </c>
      <c r="G37" s="2">
        <v>127</v>
      </c>
      <c r="H37" s="2">
        <v>2</v>
      </c>
      <c r="I37" s="2">
        <v>68</v>
      </c>
      <c r="J37" s="2" t="s">
        <v>21</v>
      </c>
      <c r="K37" s="2" t="s">
        <v>14</v>
      </c>
      <c r="L37" s="2" t="s">
        <v>9</v>
      </c>
      <c r="M37" s="2" t="s">
        <v>10</v>
      </c>
      <c r="N37" s="2" t="s">
        <v>8</v>
      </c>
      <c r="O37" s="2" t="s">
        <v>8</v>
      </c>
    </row>
    <row r="38" spans="1:15" x14ac:dyDescent="0.2">
      <c r="A38" s="2" t="s">
        <v>64</v>
      </c>
      <c r="B38" s="2">
        <v>2019</v>
      </c>
      <c r="C38" s="2">
        <v>2016</v>
      </c>
      <c r="D38" s="2" t="s">
        <v>265</v>
      </c>
      <c r="E38" s="2">
        <v>130</v>
      </c>
      <c r="F38" s="2" t="s">
        <v>8</v>
      </c>
      <c r="G38" s="2" t="s">
        <v>8</v>
      </c>
      <c r="H38" s="2" t="s">
        <v>8</v>
      </c>
      <c r="I38" s="2">
        <v>0</v>
      </c>
      <c r="J38" s="2" t="s">
        <v>46</v>
      </c>
      <c r="K38" s="2" t="s">
        <v>14</v>
      </c>
      <c r="L38" s="2" t="s">
        <v>9</v>
      </c>
      <c r="M38" s="2" t="s">
        <v>10</v>
      </c>
      <c r="N38" s="2" t="s">
        <v>263</v>
      </c>
      <c r="O38" s="2" t="s">
        <v>8</v>
      </c>
    </row>
    <row r="39" spans="1:15" x14ac:dyDescent="0.2">
      <c r="A39" s="2" t="s">
        <v>65</v>
      </c>
      <c r="B39" s="2">
        <v>2023</v>
      </c>
      <c r="C39" s="2">
        <v>2015</v>
      </c>
      <c r="D39" s="2" t="s">
        <v>264</v>
      </c>
      <c r="E39" s="2">
        <v>133</v>
      </c>
      <c r="F39" s="2">
        <v>5</v>
      </c>
      <c r="G39" s="2">
        <v>124</v>
      </c>
      <c r="H39" s="2">
        <v>4</v>
      </c>
      <c r="I39" s="2">
        <v>103</v>
      </c>
      <c r="J39" s="2" t="s">
        <v>30</v>
      </c>
      <c r="K39" s="2" t="s">
        <v>14</v>
      </c>
      <c r="L39" s="2" t="s">
        <v>15</v>
      </c>
      <c r="M39" s="2" t="s">
        <v>10</v>
      </c>
      <c r="N39" s="2" t="s">
        <v>263</v>
      </c>
      <c r="O39" s="2" t="s">
        <v>12</v>
      </c>
    </row>
    <row r="40" spans="1:15" x14ac:dyDescent="0.2">
      <c r="A40" s="2" t="s">
        <v>66</v>
      </c>
      <c r="B40" s="2">
        <v>2023</v>
      </c>
      <c r="C40" s="2">
        <v>2015</v>
      </c>
      <c r="D40" s="2" t="s">
        <v>264</v>
      </c>
      <c r="E40" s="2">
        <v>140</v>
      </c>
      <c r="F40" s="2">
        <v>0</v>
      </c>
      <c r="G40" s="2">
        <v>140</v>
      </c>
      <c r="H40" s="2">
        <v>0</v>
      </c>
      <c r="I40" s="2">
        <v>66</v>
      </c>
      <c r="J40" s="2" t="s">
        <v>6</v>
      </c>
      <c r="K40" s="2" t="s">
        <v>14</v>
      </c>
      <c r="L40" s="2" t="s">
        <v>15</v>
      </c>
      <c r="M40" s="2" t="s">
        <v>10</v>
      </c>
      <c r="N40" s="2" t="s">
        <v>263</v>
      </c>
      <c r="O40" s="2" t="s">
        <v>12</v>
      </c>
    </row>
    <row r="41" spans="1:15" x14ac:dyDescent="0.2">
      <c r="A41" s="2" t="s">
        <v>67</v>
      </c>
      <c r="B41" s="2">
        <v>2018</v>
      </c>
      <c r="C41" s="2">
        <v>2013</v>
      </c>
      <c r="D41" s="2" t="s">
        <v>264</v>
      </c>
      <c r="E41" s="2">
        <v>140</v>
      </c>
      <c r="F41" s="2">
        <v>1</v>
      </c>
      <c r="G41" s="2">
        <v>139</v>
      </c>
      <c r="H41" s="2">
        <v>0</v>
      </c>
      <c r="I41" s="2">
        <v>65</v>
      </c>
      <c r="J41" s="2" t="s">
        <v>6</v>
      </c>
      <c r="K41" s="2" t="s">
        <v>14</v>
      </c>
      <c r="L41" s="2" t="s">
        <v>15</v>
      </c>
      <c r="M41" s="2" t="s">
        <v>10</v>
      </c>
      <c r="N41" s="2" t="s">
        <v>263</v>
      </c>
      <c r="O41" s="2" t="s">
        <v>12</v>
      </c>
    </row>
    <row r="42" spans="1:15" x14ac:dyDescent="0.2">
      <c r="A42" s="2" t="s">
        <v>68</v>
      </c>
      <c r="B42" s="2">
        <v>2020</v>
      </c>
      <c r="C42" s="2">
        <v>2014</v>
      </c>
      <c r="D42" s="2" t="s">
        <v>264</v>
      </c>
      <c r="E42" s="2">
        <v>140</v>
      </c>
      <c r="F42" s="2" t="s">
        <v>8</v>
      </c>
      <c r="G42" s="2" t="s">
        <v>8</v>
      </c>
      <c r="H42" s="2" t="s">
        <v>8</v>
      </c>
      <c r="I42" s="2">
        <v>63</v>
      </c>
      <c r="J42" s="2" t="s">
        <v>6</v>
      </c>
      <c r="K42" s="2" t="s">
        <v>14</v>
      </c>
      <c r="L42" s="2" t="s">
        <v>15</v>
      </c>
      <c r="M42" s="2" t="s">
        <v>10</v>
      </c>
      <c r="N42" s="2" t="s">
        <v>8</v>
      </c>
      <c r="O42" s="2" t="s">
        <v>8</v>
      </c>
    </row>
    <row r="43" spans="1:15" x14ac:dyDescent="0.2">
      <c r="A43" s="2" t="s">
        <v>69</v>
      </c>
      <c r="B43" s="2">
        <v>2019</v>
      </c>
      <c r="C43" s="2">
        <v>2017</v>
      </c>
      <c r="D43" s="2" t="s">
        <v>265</v>
      </c>
      <c r="E43" s="2">
        <v>144</v>
      </c>
      <c r="F43" s="2">
        <v>1</v>
      </c>
      <c r="G43" s="2">
        <v>127</v>
      </c>
      <c r="H43" s="2">
        <v>16</v>
      </c>
      <c r="I43" s="2">
        <v>144</v>
      </c>
      <c r="J43" s="2" t="s">
        <v>30</v>
      </c>
      <c r="K43" s="2" t="s">
        <v>70</v>
      </c>
      <c r="L43" s="2" t="s">
        <v>15</v>
      </c>
      <c r="M43" s="2" t="s">
        <v>10</v>
      </c>
      <c r="N43" s="2" t="s">
        <v>42</v>
      </c>
      <c r="O43" s="2" t="s">
        <v>8</v>
      </c>
    </row>
    <row r="44" spans="1:15" x14ac:dyDescent="0.2">
      <c r="A44" s="2" t="s">
        <v>71</v>
      </c>
      <c r="B44" s="2">
        <v>2022</v>
      </c>
      <c r="C44" s="2">
        <v>2017</v>
      </c>
      <c r="D44" s="2" t="s">
        <v>265</v>
      </c>
      <c r="E44" s="2">
        <v>144</v>
      </c>
      <c r="F44" s="2" t="s">
        <v>8</v>
      </c>
      <c r="G44" s="2" t="s">
        <v>8</v>
      </c>
      <c r="H44" s="2" t="s">
        <v>8</v>
      </c>
      <c r="I44" s="2">
        <v>118</v>
      </c>
      <c r="J44" s="2" t="s">
        <v>18</v>
      </c>
      <c r="K44" s="2" t="s">
        <v>7</v>
      </c>
      <c r="L44" s="2" t="s">
        <v>15</v>
      </c>
      <c r="M44" s="2" t="s">
        <v>10</v>
      </c>
      <c r="N44" s="2" t="s">
        <v>263</v>
      </c>
      <c r="O44" s="2" t="s">
        <v>12</v>
      </c>
    </row>
    <row r="45" spans="1:15" x14ac:dyDescent="0.2">
      <c r="A45" s="2" t="s">
        <v>72</v>
      </c>
      <c r="B45" s="2">
        <v>2020</v>
      </c>
      <c r="C45" s="2">
        <v>2017</v>
      </c>
      <c r="D45" s="2" t="s">
        <v>265</v>
      </c>
      <c r="E45" s="2">
        <v>151</v>
      </c>
      <c r="F45" s="2">
        <v>1</v>
      </c>
      <c r="G45" s="2">
        <v>49</v>
      </c>
      <c r="H45" s="2">
        <v>101</v>
      </c>
      <c r="I45" s="2">
        <v>88</v>
      </c>
      <c r="J45" s="2" t="s">
        <v>56</v>
      </c>
      <c r="K45" s="2" t="s">
        <v>14</v>
      </c>
      <c r="L45" s="2" t="s">
        <v>9</v>
      </c>
      <c r="M45" s="2" t="s">
        <v>10</v>
      </c>
      <c r="N45" s="2" t="s">
        <v>11</v>
      </c>
      <c r="O45" s="2" t="s">
        <v>8</v>
      </c>
    </row>
    <row r="46" spans="1:15" x14ac:dyDescent="0.2">
      <c r="A46" s="2" t="s">
        <v>73</v>
      </c>
      <c r="B46" s="2">
        <v>2022</v>
      </c>
      <c r="C46" s="2">
        <v>2019</v>
      </c>
      <c r="D46" s="2" t="s">
        <v>266</v>
      </c>
      <c r="E46" s="2">
        <v>154</v>
      </c>
      <c r="F46" s="2">
        <v>5</v>
      </c>
      <c r="G46" s="2">
        <v>119</v>
      </c>
      <c r="H46" s="2">
        <v>30</v>
      </c>
      <c r="I46" s="2">
        <v>89</v>
      </c>
      <c r="J46" s="2" t="s">
        <v>6</v>
      </c>
      <c r="K46" s="2" t="s">
        <v>14</v>
      </c>
      <c r="L46" s="2" t="s">
        <v>9</v>
      </c>
      <c r="M46" s="2" t="s">
        <v>10</v>
      </c>
      <c r="N46" s="2" t="s">
        <v>11</v>
      </c>
      <c r="O46" s="2" t="s">
        <v>12</v>
      </c>
    </row>
    <row r="47" spans="1:15" x14ac:dyDescent="0.2">
      <c r="A47" s="2" t="s">
        <v>74</v>
      </c>
      <c r="B47" s="2">
        <v>2023</v>
      </c>
      <c r="C47" s="2">
        <v>2014</v>
      </c>
      <c r="D47" s="2" t="s">
        <v>264</v>
      </c>
      <c r="E47" s="2">
        <v>154</v>
      </c>
      <c r="F47" s="2">
        <v>5</v>
      </c>
      <c r="G47" s="2">
        <v>141</v>
      </c>
      <c r="H47" s="2">
        <v>8</v>
      </c>
      <c r="I47" s="2">
        <v>84</v>
      </c>
      <c r="J47" s="2" t="s">
        <v>56</v>
      </c>
      <c r="K47" s="2" t="s">
        <v>14</v>
      </c>
      <c r="L47" s="2" t="s">
        <v>15</v>
      </c>
      <c r="M47" s="2" t="s">
        <v>10</v>
      </c>
      <c r="N47" s="2" t="s">
        <v>263</v>
      </c>
      <c r="O47" s="2" t="s">
        <v>8</v>
      </c>
    </row>
    <row r="48" spans="1:15" x14ac:dyDescent="0.2">
      <c r="A48" s="2" t="s">
        <v>75</v>
      </c>
      <c r="B48" s="2">
        <v>2023</v>
      </c>
      <c r="C48" s="2">
        <v>2014</v>
      </c>
      <c r="D48" s="2" t="s">
        <v>264</v>
      </c>
      <c r="E48" s="2">
        <v>156</v>
      </c>
      <c r="F48" s="2">
        <v>6</v>
      </c>
      <c r="G48" s="2">
        <v>127</v>
      </c>
      <c r="H48" s="2">
        <v>23</v>
      </c>
      <c r="I48" s="2">
        <v>93</v>
      </c>
      <c r="J48" s="2" t="s">
        <v>6</v>
      </c>
      <c r="K48" s="2" t="s">
        <v>14</v>
      </c>
      <c r="L48" s="2" t="s">
        <v>15</v>
      </c>
      <c r="M48" s="2" t="s">
        <v>10</v>
      </c>
      <c r="N48" s="2" t="s">
        <v>263</v>
      </c>
      <c r="O48" s="2" t="s">
        <v>8</v>
      </c>
    </row>
    <row r="49" spans="1:15" x14ac:dyDescent="0.2">
      <c r="A49" s="2" t="s">
        <v>76</v>
      </c>
      <c r="B49" s="2">
        <v>2023</v>
      </c>
      <c r="C49" s="2">
        <v>2016</v>
      </c>
      <c r="D49" s="2" t="s">
        <v>265</v>
      </c>
      <c r="E49" s="2">
        <v>157</v>
      </c>
      <c r="F49" s="2">
        <v>8</v>
      </c>
      <c r="G49" s="2">
        <v>146</v>
      </c>
      <c r="H49" s="2">
        <v>3</v>
      </c>
      <c r="I49" s="2">
        <v>129</v>
      </c>
      <c r="J49" s="2" t="s">
        <v>30</v>
      </c>
      <c r="K49" s="2" t="s">
        <v>77</v>
      </c>
      <c r="L49" s="2" t="s">
        <v>15</v>
      </c>
      <c r="M49" s="2" t="s">
        <v>10</v>
      </c>
      <c r="N49" s="2" t="s">
        <v>8</v>
      </c>
      <c r="O49" s="2" t="s">
        <v>8</v>
      </c>
    </row>
    <row r="50" spans="1:15" x14ac:dyDescent="0.2">
      <c r="A50" s="2" t="s">
        <v>78</v>
      </c>
      <c r="B50" s="2">
        <v>2022</v>
      </c>
      <c r="C50" s="2">
        <v>2016</v>
      </c>
      <c r="D50" s="2" t="s">
        <v>265</v>
      </c>
      <c r="E50" s="2">
        <v>170</v>
      </c>
      <c r="F50" s="2">
        <v>13</v>
      </c>
      <c r="G50" s="2">
        <v>155</v>
      </c>
      <c r="H50" s="2">
        <v>2</v>
      </c>
      <c r="I50" s="2">
        <v>113</v>
      </c>
      <c r="J50" s="2" t="s">
        <v>6</v>
      </c>
      <c r="K50" s="2" t="s">
        <v>7</v>
      </c>
      <c r="L50" s="2" t="s">
        <v>9</v>
      </c>
      <c r="M50" s="2" t="s">
        <v>10</v>
      </c>
      <c r="N50" s="2" t="s">
        <v>11</v>
      </c>
      <c r="O50" s="2" t="s">
        <v>12</v>
      </c>
    </row>
    <row r="51" spans="1:15" x14ac:dyDescent="0.2">
      <c r="A51" s="2" t="s">
        <v>79</v>
      </c>
      <c r="B51" s="2">
        <v>2022</v>
      </c>
      <c r="C51" s="2">
        <v>2018</v>
      </c>
      <c r="D51" s="2" t="s">
        <v>265</v>
      </c>
      <c r="E51" s="2">
        <v>175</v>
      </c>
      <c r="F51" s="2">
        <v>1</v>
      </c>
      <c r="G51" s="2">
        <v>110</v>
      </c>
      <c r="H51" s="2">
        <v>64</v>
      </c>
      <c r="I51" s="2">
        <v>30</v>
      </c>
      <c r="J51" s="2" t="s">
        <v>30</v>
      </c>
      <c r="K51" s="2" t="s">
        <v>14</v>
      </c>
      <c r="L51" s="2" t="s">
        <v>15</v>
      </c>
      <c r="M51" s="2" t="s">
        <v>10</v>
      </c>
      <c r="N51" s="2" t="s">
        <v>8</v>
      </c>
      <c r="O51" s="2" t="s">
        <v>8</v>
      </c>
    </row>
    <row r="52" spans="1:15" x14ac:dyDescent="0.2">
      <c r="A52" s="2" t="s">
        <v>80</v>
      </c>
      <c r="B52" s="2">
        <v>2021</v>
      </c>
      <c r="C52" s="2">
        <v>2014</v>
      </c>
      <c r="D52" s="2" t="s">
        <v>264</v>
      </c>
      <c r="E52" s="2">
        <v>181</v>
      </c>
      <c r="F52" s="2">
        <v>2</v>
      </c>
      <c r="G52" s="2">
        <v>144</v>
      </c>
      <c r="H52" s="2">
        <v>35</v>
      </c>
      <c r="I52" s="2">
        <v>119</v>
      </c>
      <c r="J52" s="2" t="s">
        <v>6</v>
      </c>
      <c r="K52" s="2" t="s">
        <v>14</v>
      </c>
      <c r="L52" s="2" t="s">
        <v>9</v>
      </c>
      <c r="M52" s="2" t="s">
        <v>10</v>
      </c>
      <c r="N52" s="2" t="s">
        <v>11</v>
      </c>
      <c r="O52" s="2" t="s">
        <v>12</v>
      </c>
    </row>
    <row r="53" spans="1:15" x14ac:dyDescent="0.2">
      <c r="A53" s="2" t="s">
        <v>81</v>
      </c>
      <c r="B53" s="2">
        <v>2020</v>
      </c>
      <c r="C53" s="2">
        <v>2015</v>
      </c>
      <c r="D53" s="2" t="s">
        <v>264</v>
      </c>
      <c r="E53" s="2">
        <v>182</v>
      </c>
      <c r="F53" s="2">
        <v>0</v>
      </c>
      <c r="G53" s="2">
        <v>0</v>
      </c>
      <c r="H53" s="2">
        <v>182</v>
      </c>
      <c r="I53" s="2">
        <v>103</v>
      </c>
      <c r="J53" s="2" t="s">
        <v>21</v>
      </c>
      <c r="K53" s="2" t="s">
        <v>7</v>
      </c>
      <c r="L53" s="2" t="s">
        <v>15</v>
      </c>
      <c r="M53" s="2" t="s">
        <v>10</v>
      </c>
      <c r="N53" s="2" t="s">
        <v>263</v>
      </c>
      <c r="O53" s="2" t="s">
        <v>12</v>
      </c>
    </row>
    <row r="54" spans="1:15" x14ac:dyDescent="0.2">
      <c r="A54" s="2" t="s">
        <v>82</v>
      </c>
      <c r="B54" s="2">
        <v>2021</v>
      </c>
      <c r="C54" s="2">
        <v>2017</v>
      </c>
      <c r="D54" s="2" t="s">
        <v>265</v>
      </c>
      <c r="E54" s="2">
        <v>187</v>
      </c>
      <c r="F54" s="2">
        <v>2</v>
      </c>
      <c r="G54" s="2">
        <v>106</v>
      </c>
      <c r="H54" s="2">
        <v>79</v>
      </c>
      <c r="I54" s="2">
        <v>68</v>
      </c>
      <c r="J54" s="2" t="s">
        <v>56</v>
      </c>
      <c r="K54" s="2" t="s">
        <v>14</v>
      </c>
      <c r="L54" s="2" t="s">
        <v>15</v>
      </c>
      <c r="M54" s="2" t="s">
        <v>10</v>
      </c>
      <c r="N54" s="2" t="s">
        <v>263</v>
      </c>
      <c r="O54" s="2" t="s">
        <v>12</v>
      </c>
    </row>
    <row r="55" spans="1:15" x14ac:dyDescent="0.2">
      <c r="A55" s="2" t="s">
        <v>83</v>
      </c>
      <c r="B55" s="2">
        <v>2022</v>
      </c>
      <c r="C55" s="2">
        <v>2020</v>
      </c>
      <c r="D55" s="2" t="s">
        <v>266</v>
      </c>
      <c r="E55" s="2">
        <v>195</v>
      </c>
      <c r="F55" s="2">
        <v>4</v>
      </c>
      <c r="G55" s="2">
        <v>157</v>
      </c>
      <c r="H55" s="2">
        <v>34</v>
      </c>
      <c r="I55" s="2">
        <v>123</v>
      </c>
      <c r="J55" s="2" t="s">
        <v>6</v>
      </c>
      <c r="K55" s="2" t="s">
        <v>14</v>
      </c>
      <c r="L55" s="2" t="s">
        <v>15</v>
      </c>
      <c r="M55" s="2" t="s">
        <v>10</v>
      </c>
      <c r="N55" s="2" t="s">
        <v>11</v>
      </c>
      <c r="O55" s="2" t="s">
        <v>12</v>
      </c>
    </row>
    <row r="56" spans="1:15" x14ac:dyDescent="0.2">
      <c r="A56" s="2" t="s">
        <v>84</v>
      </c>
      <c r="B56" s="2">
        <v>2023</v>
      </c>
      <c r="C56" s="2">
        <v>2018</v>
      </c>
      <c r="D56" s="2" t="s">
        <v>265</v>
      </c>
      <c r="E56" s="2">
        <v>195</v>
      </c>
      <c r="F56" s="2">
        <v>10</v>
      </c>
      <c r="G56" s="2">
        <v>153</v>
      </c>
      <c r="H56" s="2">
        <v>32</v>
      </c>
      <c r="I56" s="2">
        <v>119</v>
      </c>
      <c r="J56" s="2" t="s">
        <v>56</v>
      </c>
      <c r="K56" s="2" t="s">
        <v>7</v>
      </c>
      <c r="L56" s="2" t="s">
        <v>15</v>
      </c>
      <c r="M56" s="2" t="s">
        <v>10</v>
      </c>
      <c r="N56" s="2" t="s">
        <v>11</v>
      </c>
      <c r="O56" s="2" t="s">
        <v>12</v>
      </c>
    </row>
    <row r="57" spans="1:15" x14ac:dyDescent="0.2">
      <c r="A57" s="2" t="s">
        <v>85</v>
      </c>
      <c r="B57" s="2">
        <v>2022</v>
      </c>
      <c r="C57" s="2">
        <v>2017</v>
      </c>
      <c r="D57" s="2" t="s">
        <v>265</v>
      </c>
      <c r="E57" s="2">
        <v>201</v>
      </c>
      <c r="F57" s="2">
        <v>0</v>
      </c>
      <c r="G57" s="2">
        <v>182</v>
      </c>
      <c r="H57" s="2">
        <v>19</v>
      </c>
      <c r="I57" s="2">
        <v>134</v>
      </c>
      <c r="J57" s="2" t="s">
        <v>6</v>
      </c>
      <c r="K57" s="2" t="s">
        <v>14</v>
      </c>
      <c r="L57" s="2" t="s">
        <v>15</v>
      </c>
      <c r="M57" s="2" t="s">
        <v>10</v>
      </c>
      <c r="N57" s="2" t="s">
        <v>11</v>
      </c>
      <c r="O57" s="2" t="s">
        <v>86</v>
      </c>
    </row>
    <row r="58" spans="1:15" x14ac:dyDescent="0.2">
      <c r="A58" s="2" t="s">
        <v>87</v>
      </c>
      <c r="B58" s="2">
        <v>2019</v>
      </c>
      <c r="C58" s="2">
        <v>2014</v>
      </c>
      <c r="D58" s="2" t="s">
        <v>264</v>
      </c>
      <c r="E58" s="2">
        <v>202</v>
      </c>
      <c r="F58" s="2">
        <v>11</v>
      </c>
      <c r="G58" s="2">
        <v>187</v>
      </c>
      <c r="H58" s="2">
        <v>4</v>
      </c>
      <c r="I58" s="2">
        <v>130</v>
      </c>
      <c r="J58" s="2" t="s">
        <v>18</v>
      </c>
      <c r="K58" s="2" t="s">
        <v>31</v>
      </c>
      <c r="L58" s="2" t="s">
        <v>15</v>
      </c>
      <c r="M58" s="2" t="s">
        <v>10</v>
      </c>
      <c r="N58" s="2" t="s">
        <v>42</v>
      </c>
      <c r="O58" s="2" t="s">
        <v>8</v>
      </c>
    </row>
    <row r="59" spans="1:15" x14ac:dyDescent="0.2">
      <c r="A59" s="2" t="s">
        <v>88</v>
      </c>
      <c r="B59" s="2">
        <v>2019</v>
      </c>
      <c r="C59" s="2">
        <v>2015</v>
      </c>
      <c r="D59" s="2" t="s">
        <v>264</v>
      </c>
      <c r="E59" s="2">
        <v>202</v>
      </c>
      <c r="F59" s="2" t="s">
        <v>8</v>
      </c>
      <c r="G59" s="2" t="s">
        <v>8</v>
      </c>
      <c r="H59" s="2" t="s">
        <v>8</v>
      </c>
      <c r="I59" s="2">
        <v>105</v>
      </c>
      <c r="J59" s="2" t="s">
        <v>56</v>
      </c>
      <c r="K59" s="2" t="s">
        <v>31</v>
      </c>
      <c r="L59" s="2" t="s">
        <v>15</v>
      </c>
      <c r="M59" s="2" t="s">
        <v>16</v>
      </c>
      <c r="N59" s="2" t="s">
        <v>11</v>
      </c>
      <c r="O59" s="2" t="s">
        <v>8</v>
      </c>
    </row>
    <row r="60" spans="1:15" x14ac:dyDescent="0.2">
      <c r="A60" s="2" t="s">
        <v>89</v>
      </c>
      <c r="B60" s="2">
        <v>2018</v>
      </c>
      <c r="C60" s="2">
        <v>2014</v>
      </c>
      <c r="D60" s="2" t="s">
        <v>264</v>
      </c>
      <c r="E60" s="2">
        <v>204</v>
      </c>
      <c r="F60" s="2" t="s">
        <v>8</v>
      </c>
      <c r="G60" s="2" t="s">
        <v>8</v>
      </c>
      <c r="H60" s="2" t="s">
        <v>8</v>
      </c>
      <c r="I60" s="2">
        <v>180</v>
      </c>
      <c r="J60" s="2" t="s">
        <v>18</v>
      </c>
      <c r="K60" s="2" t="s">
        <v>7</v>
      </c>
      <c r="L60" s="2" t="s">
        <v>9</v>
      </c>
      <c r="M60" s="2" t="s">
        <v>10</v>
      </c>
      <c r="N60" s="2" t="s">
        <v>263</v>
      </c>
      <c r="O60" s="2" t="s">
        <v>12</v>
      </c>
    </row>
    <row r="61" spans="1:15" x14ac:dyDescent="0.2">
      <c r="A61" s="2" t="s">
        <v>90</v>
      </c>
      <c r="B61" s="2">
        <v>2023</v>
      </c>
      <c r="C61" s="2">
        <v>2016</v>
      </c>
      <c r="D61" s="2" t="s">
        <v>265</v>
      </c>
      <c r="E61" s="2">
        <v>210</v>
      </c>
      <c r="F61" s="2">
        <v>1</v>
      </c>
      <c r="G61" s="2">
        <v>182</v>
      </c>
      <c r="H61" s="2">
        <v>27</v>
      </c>
      <c r="I61" s="2">
        <v>141</v>
      </c>
      <c r="J61" s="2" t="s">
        <v>6</v>
      </c>
      <c r="K61" s="2" t="s">
        <v>14</v>
      </c>
      <c r="L61" s="2" t="s">
        <v>15</v>
      </c>
      <c r="M61" s="2" t="s">
        <v>10</v>
      </c>
      <c r="N61" s="2" t="s">
        <v>263</v>
      </c>
      <c r="O61" s="2" t="s">
        <v>12</v>
      </c>
    </row>
    <row r="62" spans="1:15" x14ac:dyDescent="0.2">
      <c r="A62" s="2" t="s">
        <v>91</v>
      </c>
      <c r="B62" s="2">
        <v>2021</v>
      </c>
      <c r="C62" s="2">
        <v>2018</v>
      </c>
      <c r="D62" s="2" t="s">
        <v>265</v>
      </c>
      <c r="E62" s="2">
        <v>218</v>
      </c>
      <c r="F62" s="2">
        <v>4</v>
      </c>
      <c r="G62" s="2">
        <v>115</v>
      </c>
      <c r="H62" s="2">
        <v>99</v>
      </c>
      <c r="I62" s="2">
        <v>130</v>
      </c>
      <c r="J62" s="2" t="s">
        <v>56</v>
      </c>
      <c r="K62" s="2" t="s">
        <v>31</v>
      </c>
      <c r="L62" s="2" t="s">
        <v>9</v>
      </c>
      <c r="M62" s="2" t="s">
        <v>10</v>
      </c>
      <c r="N62" s="2" t="s">
        <v>26</v>
      </c>
      <c r="O62" s="2" t="s">
        <v>8</v>
      </c>
    </row>
    <row r="63" spans="1:15" x14ac:dyDescent="0.2">
      <c r="A63" s="2" t="s">
        <v>92</v>
      </c>
      <c r="B63" s="2">
        <v>2022</v>
      </c>
      <c r="C63" s="2">
        <v>2017</v>
      </c>
      <c r="D63" s="2" t="s">
        <v>265</v>
      </c>
      <c r="E63" s="2">
        <v>220</v>
      </c>
      <c r="F63" s="2">
        <v>1</v>
      </c>
      <c r="G63" s="2">
        <v>205</v>
      </c>
      <c r="H63" s="2">
        <v>14</v>
      </c>
      <c r="I63" s="2">
        <v>0</v>
      </c>
      <c r="J63" s="2" t="s">
        <v>44</v>
      </c>
      <c r="K63" s="2" t="s">
        <v>14</v>
      </c>
      <c r="L63" s="2" t="s">
        <v>15</v>
      </c>
      <c r="M63" s="2" t="s">
        <v>10</v>
      </c>
      <c r="N63" s="2" t="s">
        <v>11</v>
      </c>
      <c r="O63" s="2" t="s">
        <v>12</v>
      </c>
    </row>
    <row r="64" spans="1:15" x14ac:dyDescent="0.2">
      <c r="A64" s="2" t="s">
        <v>93</v>
      </c>
      <c r="B64" s="2">
        <v>2023</v>
      </c>
      <c r="C64" s="2">
        <v>2017</v>
      </c>
      <c r="D64" s="2" t="s">
        <v>265</v>
      </c>
      <c r="E64" s="2">
        <v>221</v>
      </c>
      <c r="F64" s="2">
        <v>2</v>
      </c>
      <c r="G64" s="2">
        <v>133</v>
      </c>
      <c r="H64" s="2">
        <v>86</v>
      </c>
      <c r="I64" s="2">
        <v>136</v>
      </c>
      <c r="J64" s="2" t="s">
        <v>35</v>
      </c>
      <c r="K64" s="2" t="s">
        <v>7</v>
      </c>
      <c r="L64" s="2" t="s">
        <v>9</v>
      </c>
      <c r="M64" s="2" t="s">
        <v>10</v>
      </c>
      <c r="N64" s="2" t="s">
        <v>42</v>
      </c>
      <c r="O64" s="2" t="s">
        <v>8</v>
      </c>
    </row>
    <row r="65" spans="1:15" x14ac:dyDescent="0.2">
      <c r="A65" s="2" t="s">
        <v>94</v>
      </c>
      <c r="B65" s="2">
        <v>2019</v>
      </c>
      <c r="C65" s="2">
        <v>2014</v>
      </c>
      <c r="D65" s="2" t="s">
        <v>264</v>
      </c>
      <c r="E65" s="2">
        <v>229</v>
      </c>
      <c r="F65" s="2">
        <v>2</v>
      </c>
      <c r="G65" s="2">
        <v>220</v>
      </c>
      <c r="H65" s="2">
        <v>7</v>
      </c>
      <c r="I65" s="2">
        <v>146</v>
      </c>
      <c r="J65" s="2" t="s">
        <v>6</v>
      </c>
      <c r="K65" s="2" t="s">
        <v>14</v>
      </c>
      <c r="L65" s="2" t="s">
        <v>9</v>
      </c>
      <c r="M65" s="2" t="s">
        <v>10</v>
      </c>
      <c r="N65" s="2" t="s">
        <v>11</v>
      </c>
      <c r="O65" s="2" t="s">
        <v>12</v>
      </c>
    </row>
    <row r="66" spans="1:15" x14ac:dyDescent="0.2">
      <c r="A66" s="2" t="s">
        <v>95</v>
      </c>
      <c r="B66" s="2">
        <v>2022</v>
      </c>
      <c r="C66" s="2">
        <v>2016</v>
      </c>
      <c r="D66" s="2" t="s">
        <v>265</v>
      </c>
      <c r="E66" s="2">
        <v>233</v>
      </c>
      <c r="F66" s="2">
        <v>1</v>
      </c>
      <c r="G66" s="2">
        <v>10</v>
      </c>
      <c r="H66" s="2">
        <v>222</v>
      </c>
      <c r="I66" s="2">
        <v>193</v>
      </c>
      <c r="J66" s="2" t="s">
        <v>35</v>
      </c>
      <c r="K66" s="2" t="s">
        <v>7</v>
      </c>
      <c r="L66" s="2" t="s">
        <v>15</v>
      </c>
      <c r="M66" s="2" t="s">
        <v>10</v>
      </c>
      <c r="N66" s="2" t="s">
        <v>263</v>
      </c>
      <c r="O66" s="2" t="s">
        <v>39</v>
      </c>
    </row>
    <row r="67" spans="1:15" x14ac:dyDescent="0.2">
      <c r="A67" s="2" t="s">
        <v>96</v>
      </c>
      <c r="B67" s="2">
        <v>2018</v>
      </c>
      <c r="C67" s="2">
        <v>2013</v>
      </c>
      <c r="D67" s="2" t="s">
        <v>264</v>
      </c>
      <c r="E67" s="2">
        <v>240</v>
      </c>
      <c r="F67" s="2" t="s">
        <v>8</v>
      </c>
      <c r="G67" s="2" t="s">
        <v>8</v>
      </c>
      <c r="H67" s="2" t="s">
        <v>8</v>
      </c>
      <c r="I67" s="2">
        <v>1</v>
      </c>
      <c r="J67" s="2" t="s">
        <v>46</v>
      </c>
      <c r="K67" s="2" t="s">
        <v>14</v>
      </c>
      <c r="L67" s="2" t="s">
        <v>9</v>
      </c>
      <c r="M67" s="2" t="s">
        <v>10</v>
      </c>
      <c r="N67" s="2" t="s">
        <v>42</v>
      </c>
      <c r="O67" s="2" t="s">
        <v>8</v>
      </c>
    </row>
    <row r="68" spans="1:15" x14ac:dyDescent="0.2">
      <c r="A68" s="2" t="s">
        <v>97</v>
      </c>
      <c r="B68" s="2">
        <v>2021</v>
      </c>
      <c r="C68" s="2">
        <v>2015</v>
      </c>
      <c r="D68" s="2" t="s">
        <v>264</v>
      </c>
      <c r="E68" s="2">
        <v>243</v>
      </c>
      <c r="F68" s="2">
        <v>0</v>
      </c>
      <c r="G68" s="2">
        <v>0</v>
      </c>
      <c r="H68" s="2">
        <v>243</v>
      </c>
      <c r="I68" s="2">
        <v>213</v>
      </c>
      <c r="J68" s="2" t="s">
        <v>35</v>
      </c>
      <c r="K68" s="2" t="s">
        <v>7</v>
      </c>
      <c r="L68" s="2" t="s">
        <v>9</v>
      </c>
      <c r="M68" s="2" t="s">
        <v>10</v>
      </c>
      <c r="N68" s="2" t="s">
        <v>11</v>
      </c>
      <c r="O68" s="2" t="s">
        <v>8</v>
      </c>
    </row>
    <row r="69" spans="1:15" x14ac:dyDescent="0.2">
      <c r="A69" s="2" t="s">
        <v>98</v>
      </c>
      <c r="B69" s="2">
        <v>2021</v>
      </c>
      <c r="C69" s="2">
        <v>2016</v>
      </c>
      <c r="D69" s="2" t="s">
        <v>265</v>
      </c>
      <c r="E69" s="2">
        <v>243</v>
      </c>
      <c r="F69" s="2">
        <v>0</v>
      </c>
      <c r="G69" s="2">
        <v>0</v>
      </c>
      <c r="H69" s="2">
        <v>243</v>
      </c>
      <c r="I69" s="2">
        <v>0</v>
      </c>
      <c r="J69" s="2" t="s">
        <v>46</v>
      </c>
      <c r="K69" s="2" t="s">
        <v>14</v>
      </c>
      <c r="L69" s="2" t="s">
        <v>9</v>
      </c>
      <c r="M69" s="2" t="s">
        <v>10</v>
      </c>
      <c r="N69" s="2" t="s">
        <v>26</v>
      </c>
      <c r="O69" s="2" t="s">
        <v>8</v>
      </c>
    </row>
    <row r="70" spans="1:15" x14ac:dyDescent="0.2">
      <c r="A70" s="2" t="s">
        <v>99</v>
      </c>
      <c r="B70" s="2">
        <v>2023</v>
      </c>
      <c r="C70" s="2">
        <v>2017</v>
      </c>
      <c r="D70" s="2" t="s">
        <v>265</v>
      </c>
      <c r="E70" s="2">
        <v>249</v>
      </c>
      <c r="F70" s="2">
        <v>3</v>
      </c>
      <c r="G70" s="2">
        <v>232</v>
      </c>
      <c r="H70" s="2">
        <v>14</v>
      </c>
      <c r="I70" s="2">
        <v>206</v>
      </c>
      <c r="J70" s="2" t="s">
        <v>18</v>
      </c>
      <c r="K70" s="2" t="s">
        <v>14</v>
      </c>
      <c r="L70" s="2" t="s">
        <v>9</v>
      </c>
      <c r="M70" s="2" t="s">
        <v>10</v>
      </c>
      <c r="N70" s="2" t="s">
        <v>263</v>
      </c>
      <c r="O70" s="2" t="s">
        <v>12</v>
      </c>
    </row>
    <row r="71" spans="1:15" x14ac:dyDescent="0.2">
      <c r="A71" s="2" t="s">
        <v>100</v>
      </c>
      <c r="B71" s="2">
        <v>2021</v>
      </c>
      <c r="C71" s="2">
        <v>2018</v>
      </c>
      <c r="D71" s="2" t="s">
        <v>265</v>
      </c>
      <c r="E71" s="2">
        <v>252</v>
      </c>
      <c r="F71" s="2">
        <v>2</v>
      </c>
      <c r="G71" s="2">
        <v>176</v>
      </c>
      <c r="H71" s="2">
        <v>21</v>
      </c>
      <c r="I71" s="2">
        <v>4</v>
      </c>
      <c r="J71" s="2" t="s">
        <v>46</v>
      </c>
      <c r="K71" s="2" t="s">
        <v>14</v>
      </c>
      <c r="L71" s="2" t="s">
        <v>15</v>
      </c>
      <c r="M71" s="2" t="s">
        <v>10</v>
      </c>
      <c r="N71" s="2" t="s">
        <v>11</v>
      </c>
      <c r="O71" s="2" t="s">
        <v>12</v>
      </c>
    </row>
    <row r="72" spans="1:15" x14ac:dyDescent="0.2">
      <c r="A72" s="2" t="s">
        <v>101</v>
      </c>
      <c r="B72" s="2">
        <v>2022</v>
      </c>
      <c r="C72" s="2">
        <v>2016</v>
      </c>
      <c r="D72" s="2" t="s">
        <v>265</v>
      </c>
      <c r="E72" s="2">
        <v>256</v>
      </c>
      <c r="F72" s="2">
        <v>0</v>
      </c>
      <c r="G72" s="2">
        <v>203</v>
      </c>
      <c r="H72" s="2">
        <v>53</v>
      </c>
      <c r="I72" s="2">
        <v>126</v>
      </c>
      <c r="J72" s="2" t="s">
        <v>6</v>
      </c>
      <c r="K72" s="2" t="s">
        <v>14</v>
      </c>
      <c r="L72" s="2" t="s">
        <v>15</v>
      </c>
      <c r="M72" s="2" t="s">
        <v>10</v>
      </c>
      <c r="N72" s="2" t="s">
        <v>263</v>
      </c>
      <c r="O72" s="2" t="s">
        <v>12</v>
      </c>
    </row>
    <row r="73" spans="1:15" x14ac:dyDescent="0.2">
      <c r="A73" s="2" t="s">
        <v>102</v>
      </c>
      <c r="B73" s="2">
        <v>2022</v>
      </c>
      <c r="C73" s="2">
        <v>2016</v>
      </c>
      <c r="D73" s="2" t="s">
        <v>265</v>
      </c>
      <c r="E73" s="2">
        <v>258</v>
      </c>
      <c r="F73" s="2">
        <v>3</v>
      </c>
      <c r="G73" s="2">
        <v>252</v>
      </c>
      <c r="H73" s="2">
        <v>3</v>
      </c>
      <c r="I73" s="2">
        <v>180</v>
      </c>
      <c r="J73" s="2" t="s">
        <v>6</v>
      </c>
      <c r="K73" s="2" t="s">
        <v>14</v>
      </c>
      <c r="L73" s="2" t="s">
        <v>15</v>
      </c>
      <c r="M73" s="2" t="s">
        <v>10</v>
      </c>
      <c r="N73" s="2" t="s">
        <v>11</v>
      </c>
      <c r="O73" s="2" t="s">
        <v>12</v>
      </c>
    </row>
    <row r="74" spans="1:15" x14ac:dyDescent="0.2">
      <c r="A74" s="2" t="s">
        <v>103</v>
      </c>
      <c r="B74" s="2">
        <v>2021</v>
      </c>
      <c r="C74" s="2">
        <v>2015</v>
      </c>
      <c r="D74" s="2" t="s">
        <v>264</v>
      </c>
      <c r="E74" s="2">
        <v>258</v>
      </c>
      <c r="F74" s="2" t="s">
        <v>8</v>
      </c>
      <c r="G74" s="2" t="s">
        <v>8</v>
      </c>
      <c r="H74" s="2" t="s">
        <v>8</v>
      </c>
      <c r="I74" s="2">
        <v>123</v>
      </c>
      <c r="J74" s="2" t="s">
        <v>6</v>
      </c>
      <c r="K74" s="2" t="s">
        <v>14</v>
      </c>
      <c r="L74" s="2" t="s">
        <v>9</v>
      </c>
      <c r="M74" s="2" t="s">
        <v>10</v>
      </c>
      <c r="N74" s="2" t="s">
        <v>263</v>
      </c>
      <c r="O74" s="2" t="s">
        <v>12</v>
      </c>
    </row>
    <row r="75" spans="1:15" x14ac:dyDescent="0.2">
      <c r="A75" s="2" t="s">
        <v>104</v>
      </c>
      <c r="B75" s="2">
        <v>2022</v>
      </c>
      <c r="C75" s="2">
        <v>2016</v>
      </c>
      <c r="D75" s="2" t="s">
        <v>265</v>
      </c>
      <c r="E75" s="2">
        <v>262</v>
      </c>
      <c r="F75" s="2">
        <v>0</v>
      </c>
      <c r="G75" s="2">
        <v>0</v>
      </c>
      <c r="H75" s="2">
        <v>262</v>
      </c>
      <c r="I75" s="2">
        <v>224</v>
      </c>
      <c r="J75" s="2" t="s">
        <v>18</v>
      </c>
      <c r="K75" s="2" t="s">
        <v>7</v>
      </c>
      <c r="L75" s="2" t="s">
        <v>15</v>
      </c>
      <c r="M75" s="2" t="s">
        <v>10</v>
      </c>
      <c r="N75" s="2" t="s">
        <v>263</v>
      </c>
      <c r="O75" s="2" t="s">
        <v>12</v>
      </c>
    </row>
    <row r="76" spans="1:15" x14ac:dyDescent="0.2">
      <c r="A76" s="2" t="s">
        <v>105</v>
      </c>
      <c r="B76" s="2">
        <v>2022</v>
      </c>
      <c r="C76" s="2">
        <v>2015</v>
      </c>
      <c r="D76" s="2" t="s">
        <v>264</v>
      </c>
      <c r="E76" s="2">
        <v>266</v>
      </c>
      <c r="F76" s="2">
        <v>2</v>
      </c>
      <c r="G76" s="2">
        <v>223</v>
      </c>
      <c r="H76" s="2">
        <v>41</v>
      </c>
      <c r="I76" s="2">
        <v>0</v>
      </c>
      <c r="J76" s="2" t="s">
        <v>44</v>
      </c>
      <c r="K76" s="2" t="s">
        <v>14</v>
      </c>
      <c r="L76" s="2" t="s">
        <v>15</v>
      </c>
      <c r="M76" s="2" t="s">
        <v>10</v>
      </c>
      <c r="N76" s="2" t="s">
        <v>42</v>
      </c>
      <c r="O76" s="2" t="s">
        <v>8</v>
      </c>
    </row>
    <row r="77" spans="1:15" x14ac:dyDescent="0.2">
      <c r="A77" s="2" t="s">
        <v>106</v>
      </c>
      <c r="B77" s="2">
        <v>2021</v>
      </c>
      <c r="C77" s="2">
        <v>2016</v>
      </c>
      <c r="D77" s="2" t="s">
        <v>265</v>
      </c>
      <c r="E77" s="2">
        <v>275</v>
      </c>
      <c r="F77" s="2">
        <v>2</v>
      </c>
      <c r="G77" s="2">
        <v>162</v>
      </c>
      <c r="H77" s="2">
        <v>111</v>
      </c>
      <c r="I77" s="2">
        <v>125</v>
      </c>
      <c r="J77" s="2" t="s">
        <v>18</v>
      </c>
      <c r="K77" s="2" t="s">
        <v>14</v>
      </c>
      <c r="L77" s="2" t="s">
        <v>15</v>
      </c>
      <c r="M77" s="2" t="s">
        <v>10</v>
      </c>
      <c r="N77" s="2" t="s">
        <v>42</v>
      </c>
      <c r="O77" s="2" t="s">
        <v>8</v>
      </c>
    </row>
    <row r="78" spans="1:15" x14ac:dyDescent="0.2">
      <c r="A78" s="2" t="s">
        <v>107</v>
      </c>
      <c r="B78" s="2">
        <v>2022</v>
      </c>
      <c r="C78" s="2">
        <v>2018</v>
      </c>
      <c r="D78" s="2" t="s">
        <v>265</v>
      </c>
      <c r="E78" s="2">
        <v>279</v>
      </c>
      <c r="F78" s="2">
        <v>1</v>
      </c>
      <c r="G78" s="2">
        <v>273</v>
      </c>
      <c r="H78" s="2">
        <v>5</v>
      </c>
      <c r="I78" s="2">
        <v>0</v>
      </c>
      <c r="J78" s="2" t="s">
        <v>44</v>
      </c>
      <c r="K78" s="2" t="s">
        <v>14</v>
      </c>
      <c r="L78" s="2" t="s">
        <v>15</v>
      </c>
      <c r="M78" s="2" t="s">
        <v>10</v>
      </c>
      <c r="N78" s="2" t="s">
        <v>11</v>
      </c>
      <c r="O78" s="2" t="s">
        <v>12</v>
      </c>
    </row>
    <row r="79" spans="1:15" x14ac:dyDescent="0.2">
      <c r="A79" s="2" t="s">
        <v>108</v>
      </c>
      <c r="B79" s="2">
        <v>2023</v>
      </c>
      <c r="C79" s="2">
        <v>2017</v>
      </c>
      <c r="D79" s="2" t="s">
        <v>265</v>
      </c>
      <c r="E79" s="2">
        <v>280</v>
      </c>
      <c r="F79" s="2">
        <v>0</v>
      </c>
      <c r="G79" s="2">
        <v>0</v>
      </c>
      <c r="H79" s="2">
        <v>280</v>
      </c>
      <c r="I79" s="2">
        <v>258</v>
      </c>
      <c r="J79" s="2" t="s">
        <v>18</v>
      </c>
      <c r="K79" s="2" t="s">
        <v>7</v>
      </c>
      <c r="L79" s="2" t="s">
        <v>9</v>
      </c>
      <c r="M79" s="2" t="s">
        <v>10</v>
      </c>
      <c r="N79" s="2" t="s">
        <v>263</v>
      </c>
      <c r="O79" s="2" t="s">
        <v>12</v>
      </c>
    </row>
    <row r="80" spans="1:15" x14ac:dyDescent="0.2">
      <c r="A80" s="2" t="s">
        <v>109</v>
      </c>
      <c r="B80" s="2">
        <v>2023</v>
      </c>
      <c r="C80" s="2">
        <v>2016</v>
      </c>
      <c r="D80" s="2" t="s">
        <v>265</v>
      </c>
      <c r="E80" s="2">
        <v>291</v>
      </c>
      <c r="F80" s="2">
        <v>12</v>
      </c>
      <c r="G80" s="2">
        <v>190</v>
      </c>
      <c r="H80" s="2">
        <v>89</v>
      </c>
      <c r="I80" s="2">
        <v>152</v>
      </c>
      <c r="J80" s="2" t="s">
        <v>6</v>
      </c>
      <c r="K80" s="2" t="s">
        <v>14</v>
      </c>
      <c r="L80" s="2" t="s">
        <v>9</v>
      </c>
      <c r="M80" s="2" t="s">
        <v>10</v>
      </c>
      <c r="N80" s="2" t="s">
        <v>11</v>
      </c>
      <c r="O80" s="2" t="s">
        <v>12</v>
      </c>
    </row>
    <row r="81" spans="1:15" x14ac:dyDescent="0.2">
      <c r="A81" s="2" t="s">
        <v>110</v>
      </c>
      <c r="B81" s="2">
        <v>2023</v>
      </c>
      <c r="C81" s="2">
        <v>2017</v>
      </c>
      <c r="D81" s="2" t="s">
        <v>265</v>
      </c>
      <c r="E81" s="2">
        <v>302</v>
      </c>
      <c r="F81" s="2">
        <v>9</v>
      </c>
      <c r="G81" s="2">
        <v>185</v>
      </c>
      <c r="H81" s="2">
        <v>108</v>
      </c>
      <c r="I81" s="2">
        <v>164</v>
      </c>
      <c r="J81" s="2" t="s">
        <v>6</v>
      </c>
      <c r="K81" s="2" t="s">
        <v>14</v>
      </c>
      <c r="L81" s="2" t="s">
        <v>15</v>
      </c>
      <c r="M81" s="2" t="s">
        <v>10</v>
      </c>
      <c r="N81" s="2" t="s">
        <v>11</v>
      </c>
      <c r="O81" s="2" t="s">
        <v>86</v>
      </c>
    </row>
    <row r="82" spans="1:15" x14ac:dyDescent="0.2">
      <c r="A82" s="2" t="s">
        <v>111</v>
      </c>
      <c r="B82" s="2">
        <v>2016</v>
      </c>
      <c r="C82" s="2">
        <v>2014</v>
      </c>
      <c r="D82" s="2" t="s">
        <v>264</v>
      </c>
      <c r="E82" s="2">
        <v>305</v>
      </c>
      <c r="F82" s="2">
        <v>4</v>
      </c>
      <c r="G82" s="2">
        <v>251</v>
      </c>
      <c r="H82" s="2">
        <v>50</v>
      </c>
      <c r="I82" s="2">
        <v>187</v>
      </c>
      <c r="J82" s="2" t="s">
        <v>18</v>
      </c>
      <c r="K82" s="2" t="s">
        <v>7</v>
      </c>
      <c r="L82" s="2" t="s">
        <v>15</v>
      </c>
      <c r="M82" s="2" t="s">
        <v>10</v>
      </c>
      <c r="N82" s="2" t="s">
        <v>263</v>
      </c>
      <c r="O82" s="2" t="s">
        <v>12</v>
      </c>
    </row>
    <row r="83" spans="1:15" x14ac:dyDescent="0.2">
      <c r="A83" s="2" t="s">
        <v>112</v>
      </c>
      <c r="B83" s="2">
        <v>2023</v>
      </c>
      <c r="C83" s="2">
        <v>2015</v>
      </c>
      <c r="D83" s="2" t="s">
        <v>264</v>
      </c>
      <c r="E83" s="2">
        <v>307</v>
      </c>
      <c r="F83" s="2">
        <v>14</v>
      </c>
      <c r="G83" s="2">
        <v>229</v>
      </c>
      <c r="H83" s="2">
        <v>64</v>
      </c>
      <c r="I83" s="2">
        <v>153</v>
      </c>
      <c r="J83" s="2" t="s">
        <v>56</v>
      </c>
      <c r="K83" s="2" t="s">
        <v>7</v>
      </c>
      <c r="L83" s="2" t="s">
        <v>15</v>
      </c>
      <c r="M83" s="2" t="s">
        <v>10</v>
      </c>
      <c r="N83" s="2" t="s">
        <v>263</v>
      </c>
      <c r="O83" s="2" t="s">
        <v>39</v>
      </c>
    </row>
    <row r="84" spans="1:15" x14ac:dyDescent="0.2">
      <c r="A84" s="2" t="s">
        <v>113</v>
      </c>
      <c r="B84" s="2">
        <v>2023</v>
      </c>
      <c r="C84" s="2">
        <v>2019</v>
      </c>
      <c r="D84" s="2" t="s">
        <v>266</v>
      </c>
      <c r="E84" s="2">
        <v>309</v>
      </c>
      <c r="F84" s="2">
        <v>1</v>
      </c>
      <c r="G84" s="2">
        <v>108</v>
      </c>
      <c r="H84" s="2">
        <v>200</v>
      </c>
      <c r="I84" s="2">
        <v>158</v>
      </c>
      <c r="J84" s="2" t="s">
        <v>56</v>
      </c>
      <c r="K84" s="2" t="s">
        <v>14</v>
      </c>
      <c r="L84" s="2" t="s">
        <v>9</v>
      </c>
      <c r="M84" s="2" t="s">
        <v>10</v>
      </c>
      <c r="N84" s="2" t="s">
        <v>11</v>
      </c>
      <c r="O84" s="2" t="s">
        <v>12</v>
      </c>
    </row>
    <row r="85" spans="1:15" x14ac:dyDescent="0.2">
      <c r="A85" s="2" t="s">
        <v>114</v>
      </c>
      <c r="B85" s="2">
        <v>2020</v>
      </c>
      <c r="C85" s="2">
        <v>2017</v>
      </c>
      <c r="D85" s="2" t="s">
        <v>265</v>
      </c>
      <c r="E85" s="2">
        <v>315</v>
      </c>
      <c r="F85" s="2">
        <v>2</v>
      </c>
      <c r="G85" s="2">
        <v>226</v>
      </c>
      <c r="H85" s="2">
        <v>87</v>
      </c>
      <c r="I85" s="2">
        <v>141</v>
      </c>
      <c r="J85" s="2" t="s">
        <v>6</v>
      </c>
      <c r="K85" s="2" t="s">
        <v>14</v>
      </c>
      <c r="L85" s="2" t="s">
        <v>15</v>
      </c>
      <c r="M85" s="2" t="s">
        <v>10</v>
      </c>
      <c r="N85" s="2" t="s">
        <v>11</v>
      </c>
      <c r="O85" s="2" t="s">
        <v>12</v>
      </c>
    </row>
    <row r="86" spans="1:15" x14ac:dyDescent="0.2">
      <c r="A86" s="2" t="s">
        <v>115</v>
      </c>
      <c r="B86" s="2">
        <v>2019</v>
      </c>
      <c r="C86" s="2">
        <v>2015</v>
      </c>
      <c r="D86" s="2" t="s">
        <v>264</v>
      </c>
      <c r="E86" s="2">
        <v>326</v>
      </c>
      <c r="F86" s="2">
        <v>3</v>
      </c>
      <c r="G86" s="2">
        <v>284</v>
      </c>
      <c r="H86" s="2">
        <v>38</v>
      </c>
      <c r="I86" s="2">
        <v>177</v>
      </c>
      <c r="J86" s="2" t="s">
        <v>6</v>
      </c>
      <c r="K86" s="2" t="s">
        <v>31</v>
      </c>
      <c r="L86" s="2" t="s">
        <v>9</v>
      </c>
      <c r="M86" s="2" t="s">
        <v>10</v>
      </c>
      <c r="N86" s="2" t="s">
        <v>26</v>
      </c>
      <c r="O86" s="2" t="s">
        <v>8</v>
      </c>
    </row>
    <row r="87" spans="1:15" x14ac:dyDescent="0.2">
      <c r="A87" s="2" t="s">
        <v>116</v>
      </c>
      <c r="B87" s="2">
        <v>2023</v>
      </c>
      <c r="C87" s="2">
        <v>2022</v>
      </c>
      <c r="D87" s="2" t="s">
        <v>266</v>
      </c>
      <c r="E87" s="2">
        <v>329</v>
      </c>
      <c r="F87" s="2">
        <v>0</v>
      </c>
      <c r="G87" s="2">
        <v>0</v>
      </c>
      <c r="H87" s="2">
        <v>329</v>
      </c>
      <c r="I87" s="2">
        <v>0</v>
      </c>
      <c r="J87" s="2" t="s">
        <v>46</v>
      </c>
      <c r="K87" s="2" t="s">
        <v>14</v>
      </c>
      <c r="L87" s="2" t="s">
        <v>9</v>
      </c>
      <c r="M87" s="2" t="s">
        <v>10</v>
      </c>
      <c r="N87" s="2" t="s">
        <v>42</v>
      </c>
      <c r="O87" s="2" t="s">
        <v>8</v>
      </c>
    </row>
    <row r="88" spans="1:15" x14ac:dyDescent="0.2">
      <c r="A88" s="2" t="s">
        <v>117</v>
      </c>
      <c r="B88" s="2">
        <v>2022</v>
      </c>
      <c r="C88" s="2">
        <v>2014</v>
      </c>
      <c r="D88" s="2" t="s">
        <v>264</v>
      </c>
      <c r="E88" s="2">
        <v>330</v>
      </c>
      <c r="F88" s="2">
        <v>1</v>
      </c>
      <c r="G88" s="2">
        <v>7</v>
      </c>
      <c r="H88" s="2">
        <v>322</v>
      </c>
      <c r="I88" s="2">
        <v>248</v>
      </c>
      <c r="J88" s="2" t="s">
        <v>35</v>
      </c>
      <c r="K88" s="2" t="s">
        <v>7</v>
      </c>
      <c r="L88" s="2" t="s">
        <v>9</v>
      </c>
      <c r="M88" s="2" t="s">
        <v>10</v>
      </c>
      <c r="N88" s="2" t="s">
        <v>11</v>
      </c>
      <c r="O88" s="2" t="s">
        <v>12</v>
      </c>
    </row>
    <row r="89" spans="1:15" x14ac:dyDescent="0.2">
      <c r="A89" s="2" t="s">
        <v>118</v>
      </c>
      <c r="B89" s="2">
        <v>2022</v>
      </c>
      <c r="C89" s="2">
        <v>2017</v>
      </c>
      <c r="D89" s="2" t="s">
        <v>265</v>
      </c>
      <c r="E89" s="2">
        <v>333</v>
      </c>
      <c r="F89" s="2">
        <v>24</v>
      </c>
      <c r="G89" s="2">
        <v>210</v>
      </c>
      <c r="H89" s="2">
        <v>99</v>
      </c>
      <c r="I89" s="2">
        <v>0</v>
      </c>
      <c r="J89" s="2" t="s">
        <v>46</v>
      </c>
      <c r="K89" s="2" t="s">
        <v>7</v>
      </c>
      <c r="L89" s="2" t="s">
        <v>9</v>
      </c>
      <c r="M89" s="2" t="s">
        <v>10</v>
      </c>
      <c r="N89" s="2" t="s">
        <v>11</v>
      </c>
      <c r="O89" s="2" t="s">
        <v>12</v>
      </c>
    </row>
    <row r="90" spans="1:15" x14ac:dyDescent="0.2">
      <c r="A90" s="2" t="s">
        <v>119</v>
      </c>
      <c r="B90" s="2">
        <v>2022</v>
      </c>
      <c r="C90" s="2">
        <v>2019</v>
      </c>
      <c r="D90" s="2" t="s">
        <v>266</v>
      </c>
      <c r="E90" s="2">
        <v>338</v>
      </c>
      <c r="F90" s="2">
        <v>0</v>
      </c>
      <c r="G90" s="2">
        <v>257</v>
      </c>
      <c r="H90" s="2">
        <v>81</v>
      </c>
      <c r="I90" s="2">
        <v>0</v>
      </c>
      <c r="J90" s="2" t="s">
        <v>46</v>
      </c>
      <c r="K90" s="2" t="s">
        <v>14</v>
      </c>
      <c r="L90" s="2" t="s">
        <v>15</v>
      </c>
      <c r="M90" s="2" t="s">
        <v>10</v>
      </c>
      <c r="N90" s="2" t="s">
        <v>8</v>
      </c>
      <c r="O90" s="2" t="s">
        <v>8</v>
      </c>
    </row>
    <row r="91" spans="1:15" x14ac:dyDescent="0.2">
      <c r="A91" s="2" t="s">
        <v>120</v>
      </c>
      <c r="B91" s="2">
        <v>2021</v>
      </c>
      <c r="C91" s="2">
        <v>2016</v>
      </c>
      <c r="D91" s="2" t="s">
        <v>265</v>
      </c>
      <c r="E91" s="2">
        <v>342</v>
      </c>
      <c r="F91" s="2">
        <v>7</v>
      </c>
      <c r="G91" s="2">
        <v>262</v>
      </c>
      <c r="H91" s="2">
        <v>73</v>
      </c>
      <c r="I91" s="2">
        <v>212</v>
      </c>
      <c r="J91" s="2" t="s">
        <v>21</v>
      </c>
      <c r="K91" s="2" t="s">
        <v>31</v>
      </c>
      <c r="L91" s="2" t="s">
        <v>15</v>
      </c>
      <c r="M91" s="2" t="s">
        <v>10</v>
      </c>
      <c r="N91" s="2" t="s">
        <v>263</v>
      </c>
      <c r="O91" s="2" t="s">
        <v>12</v>
      </c>
    </row>
    <row r="92" spans="1:15" x14ac:dyDescent="0.2">
      <c r="A92" s="2" t="s">
        <v>121</v>
      </c>
      <c r="B92" s="2">
        <v>2022</v>
      </c>
      <c r="C92" s="2">
        <v>2017</v>
      </c>
      <c r="D92" s="2" t="s">
        <v>265</v>
      </c>
      <c r="E92" s="2">
        <v>349</v>
      </c>
      <c r="F92" s="2">
        <v>6</v>
      </c>
      <c r="G92" s="2">
        <v>332</v>
      </c>
      <c r="H92" s="2">
        <v>11</v>
      </c>
      <c r="I92" s="2">
        <v>0</v>
      </c>
      <c r="J92" s="2" t="s">
        <v>44</v>
      </c>
      <c r="K92" s="2" t="s">
        <v>14</v>
      </c>
      <c r="L92" s="2" t="s">
        <v>15</v>
      </c>
      <c r="M92" s="2" t="s">
        <v>10</v>
      </c>
      <c r="N92" s="2" t="s">
        <v>263</v>
      </c>
      <c r="O92" s="2" t="s">
        <v>12</v>
      </c>
    </row>
    <row r="93" spans="1:15" x14ac:dyDescent="0.2">
      <c r="A93" s="2" t="s">
        <v>122</v>
      </c>
      <c r="B93" s="2">
        <v>2023</v>
      </c>
      <c r="C93" s="2">
        <v>2016</v>
      </c>
      <c r="D93" s="2" t="s">
        <v>265</v>
      </c>
      <c r="E93" s="2">
        <v>350</v>
      </c>
      <c r="F93" s="2">
        <v>0</v>
      </c>
      <c r="G93" s="2">
        <v>332</v>
      </c>
      <c r="H93" s="2">
        <v>18</v>
      </c>
      <c r="I93" s="2">
        <v>254</v>
      </c>
      <c r="J93" s="2" t="s">
        <v>30</v>
      </c>
      <c r="K93" s="2" t="s">
        <v>14</v>
      </c>
      <c r="L93" s="2" t="s">
        <v>15</v>
      </c>
      <c r="M93" s="2" t="s">
        <v>10</v>
      </c>
      <c r="N93" s="2" t="s">
        <v>263</v>
      </c>
      <c r="O93" s="2" t="s">
        <v>12</v>
      </c>
    </row>
    <row r="94" spans="1:15" x14ac:dyDescent="0.2">
      <c r="A94" s="2" t="s">
        <v>123</v>
      </c>
      <c r="B94" s="2">
        <v>2021</v>
      </c>
      <c r="C94" s="2">
        <v>2018</v>
      </c>
      <c r="D94" s="2" t="s">
        <v>265</v>
      </c>
      <c r="E94" s="2">
        <v>357</v>
      </c>
      <c r="F94" s="2">
        <v>0</v>
      </c>
      <c r="G94" s="2">
        <v>0</v>
      </c>
      <c r="H94" s="2">
        <v>357</v>
      </c>
      <c r="I94" s="2">
        <v>327</v>
      </c>
      <c r="J94" s="2" t="s">
        <v>18</v>
      </c>
      <c r="K94" s="2" t="s">
        <v>7</v>
      </c>
      <c r="L94" s="2" t="s">
        <v>9</v>
      </c>
      <c r="M94" s="2" t="s">
        <v>124</v>
      </c>
      <c r="N94" s="2" t="s">
        <v>11</v>
      </c>
      <c r="O94" s="2" t="s">
        <v>12</v>
      </c>
    </row>
    <row r="95" spans="1:15" x14ac:dyDescent="0.2">
      <c r="A95" s="2" t="s">
        <v>125</v>
      </c>
      <c r="B95" s="2">
        <v>2022</v>
      </c>
      <c r="C95" s="2">
        <v>2013</v>
      </c>
      <c r="D95" s="2" t="s">
        <v>264</v>
      </c>
      <c r="E95" s="2">
        <v>358</v>
      </c>
      <c r="F95" s="2" t="s">
        <v>8</v>
      </c>
      <c r="G95" s="2">
        <v>233</v>
      </c>
      <c r="H95" s="2" t="s">
        <v>8</v>
      </c>
      <c r="I95" s="2">
        <v>172</v>
      </c>
      <c r="J95" s="2" t="s">
        <v>6</v>
      </c>
      <c r="K95" s="2" t="s">
        <v>14</v>
      </c>
      <c r="L95" s="2" t="s">
        <v>9</v>
      </c>
      <c r="M95" s="2" t="s">
        <v>10</v>
      </c>
      <c r="N95" s="2" t="s">
        <v>11</v>
      </c>
      <c r="O95" s="2" t="s">
        <v>12</v>
      </c>
    </row>
    <row r="96" spans="1:15" x14ac:dyDescent="0.2">
      <c r="A96" s="2" t="s">
        <v>126</v>
      </c>
      <c r="B96" s="2">
        <v>2023</v>
      </c>
      <c r="C96" s="2">
        <v>2018</v>
      </c>
      <c r="D96" s="2" t="s">
        <v>265</v>
      </c>
      <c r="E96" s="2">
        <v>360</v>
      </c>
      <c r="F96" s="2">
        <v>0</v>
      </c>
      <c r="G96" s="2">
        <v>0</v>
      </c>
      <c r="H96" s="2">
        <v>360</v>
      </c>
      <c r="I96" s="2">
        <v>330</v>
      </c>
      <c r="J96" s="2" t="s">
        <v>18</v>
      </c>
      <c r="K96" s="2" t="s">
        <v>7</v>
      </c>
      <c r="L96" s="2" t="s">
        <v>9</v>
      </c>
      <c r="M96" s="2" t="s">
        <v>10</v>
      </c>
      <c r="N96" s="2" t="s">
        <v>263</v>
      </c>
      <c r="O96" s="2" t="s">
        <v>8</v>
      </c>
    </row>
    <row r="97" spans="1:15" x14ac:dyDescent="0.2">
      <c r="A97" s="2" t="s">
        <v>127</v>
      </c>
      <c r="B97" s="2">
        <v>2021</v>
      </c>
      <c r="C97" s="2">
        <v>2014</v>
      </c>
      <c r="D97" s="2" t="s">
        <v>264</v>
      </c>
      <c r="E97" s="2">
        <v>361</v>
      </c>
      <c r="F97" s="2">
        <v>13</v>
      </c>
      <c r="G97" s="2">
        <v>300</v>
      </c>
      <c r="H97" s="2">
        <v>48</v>
      </c>
      <c r="I97" s="2">
        <v>300</v>
      </c>
      <c r="J97" s="2" t="s">
        <v>35</v>
      </c>
      <c r="K97" s="2" t="s">
        <v>7</v>
      </c>
      <c r="L97" s="2" t="s">
        <v>15</v>
      </c>
      <c r="M97" s="2" t="s">
        <v>10</v>
      </c>
      <c r="N97" s="2" t="s">
        <v>263</v>
      </c>
      <c r="O97" s="2" t="s">
        <v>12</v>
      </c>
    </row>
    <row r="98" spans="1:15" x14ac:dyDescent="0.2">
      <c r="A98" s="2" t="s">
        <v>128</v>
      </c>
      <c r="B98" s="2">
        <v>2019</v>
      </c>
      <c r="C98" s="2">
        <v>2016</v>
      </c>
      <c r="D98" s="2" t="s">
        <v>265</v>
      </c>
      <c r="E98" s="2">
        <v>363</v>
      </c>
      <c r="F98" s="2">
        <v>10</v>
      </c>
      <c r="G98" s="2">
        <v>296</v>
      </c>
      <c r="H98" s="2">
        <v>57</v>
      </c>
      <c r="I98" s="2">
        <v>218</v>
      </c>
      <c r="J98" s="2" t="s">
        <v>56</v>
      </c>
      <c r="K98" s="2" t="s">
        <v>14</v>
      </c>
      <c r="L98" s="2" t="s">
        <v>9</v>
      </c>
      <c r="M98" s="2" t="s">
        <v>10</v>
      </c>
      <c r="N98" s="2" t="s">
        <v>11</v>
      </c>
      <c r="O98" s="2" t="s">
        <v>12</v>
      </c>
    </row>
    <row r="99" spans="1:15" x14ac:dyDescent="0.2">
      <c r="A99" s="2" t="s">
        <v>129</v>
      </c>
      <c r="B99" s="2">
        <v>2023</v>
      </c>
      <c r="C99" s="2">
        <v>2016</v>
      </c>
      <c r="D99" s="2" t="s">
        <v>265</v>
      </c>
      <c r="E99" s="2">
        <v>363</v>
      </c>
      <c r="F99" s="2">
        <v>15</v>
      </c>
      <c r="G99" s="2">
        <v>337</v>
      </c>
      <c r="H99" s="2">
        <v>11</v>
      </c>
      <c r="I99" s="2">
        <v>260</v>
      </c>
      <c r="J99" s="2" t="s">
        <v>18</v>
      </c>
      <c r="K99" s="2" t="s">
        <v>7</v>
      </c>
      <c r="L99" s="2" t="s">
        <v>15</v>
      </c>
      <c r="M99" s="2" t="s">
        <v>10</v>
      </c>
      <c r="N99" s="2" t="s">
        <v>263</v>
      </c>
      <c r="O99" s="2" t="s">
        <v>12</v>
      </c>
    </row>
    <row r="100" spans="1:15" x14ac:dyDescent="0.2">
      <c r="A100" s="2" t="s">
        <v>130</v>
      </c>
      <c r="B100" s="2">
        <v>2020</v>
      </c>
      <c r="C100" s="2">
        <v>2016</v>
      </c>
      <c r="D100" s="2" t="s">
        <v>265</v>
      </c>
      <c r="E100" s="2">
        <v>366</v>
      </c>
      <c r="F100" s="2">
        <v>10</v>
      </c>
      <c r="G100" s="2">
        <v>330</v>
      </c>
      <c r="H100" s="2">
        <v>26</v>
      </c>
      <c r="I100" s="2">
        <v>0</v>
      </c>
      <c r="J100" s="2" t="s">
        <v>44</v>
      </c>
      <c r="K100" s="2" t="s">
        <v>14</v>
      </c>
      <c r="L100" s="2" t="s">
        <v>15</v>
      </c>
      <c r="M100" s="2" t="s">
        <v>10</v>
      </c>
      <c r="N100" s="2" t="s">
        <v>263</v>
      </c>
      <c r="O100" s="2" t="s">
        <v>8</v>
      </c>
    </row>
    <row r="101" spans="1:15" x14ac:dyDescent="0.2">
      <c r="A101" s="2" t="s">
        <v>131</v>
      </c>
      <c r="B101" s="2">
        <v>2021</v>
      </c>
      <c r="C101" s="2">
        <v>2014</v>
      </c>
      <c r="D101" s="2" t="s">
        <v>264</v>
      </c>
      <c r="E101" s="2">
        <v>367</v>
      </c>
      <c r="F101" s="2">
        <v>12</v>
      </c>
      <c r="G101" s="2">
        <v>277</v>
      </c>
      <c r="H101" s="2">
        <v>78</v>
      </c>
      <c r="I101" s="2">
        <v>177</v>
      </c>
      <c r="J101" s="2" t="s">
        <v>6</v>
      </c>
      <c r="K101" s="2" t="s">
        <v>14</v>
      </c>
      <c r="L101" s="2" t="s">
        <v>15</v>
      </c>
      <c r="M101" s="2" t="s">
        <v>10</v>
      </c>
      <c r="N101" s="2" t="s">
        <v>263</v>
      </c>
      <c r="O101" s="2" t="s">
        <v>12</v>
      </c>
    </row>
    <row r="102" spans="1:15" x14ac:dyDescent="0.2">
      <c r="A102" s="2" t="s">
        <v>132</v>
      </c>
      <c r="B102" s="2">
        <v>2023</v>
      </c>
      <c r="C102" s="2">
        <v>2017</v>
      </c>
      <c r="D102" s="2" t="s">
        <v>265</v>
      </c>
      <c r="E102" s="2">
        <v>367</v>
      </c>
      <c r="F102" s="2">
        <v>0</v>
      </c>
      <c r="G102" s="2">
        <v>21</v>
      </c>
      <c r="H102" s="2">
        <v>346</v>
      </c>
      <c r="I102" s="2">
        <v>153</v>
      </c>
      <c r="J102" s="2" t="s">
        <v>18</v>
      </c>
      <c r="K102" s="2" t="s">
        <v>7</v>
      </c>
      <c r="L102" s="2" t="s">
        <v>9</v>
      </c>
      <c r="M102" s="2" t="s">
        <v>10</v>
      </c>
      <c r="N102" s="2" t="s">
        <v>263</v>
      </c>
      <c r="O102" s="2" t="s">
        <v>12</v>
      </c>
    </row>
    <row r="103" spans="1:15" x14ac:dyDescent="0.2">
      <c r="A103" s="2" t="s">
        <v>133</v>
      </c>
      <c r="B103" s="2">
        <v>2019</v>
      </c>
      <c r="C103" s="2">
        <v>2015</v>
      </c>
      <c r="D103" s="2" t="s">
        <v>264</v>
      </c>
      <c r="E103" s="2">
        <v>371</v>
      </c>
      <c r="F103" s="2">
        <v>2</v>
      </c>
      <c r="G103" s="2">
        <v>94</v>
      </c>
      <c r="H103" s="2">
        <v>275</v>
      </c>
      <c r="I103" s="2">
        <v>267</v>
      </c>
      <c r="J103" s="2" t="s">
        <v>56</v>
      </c>
      <c r="K103" s="2" t="s">
        <v>7</v>
      </c>
      <c r="L103" s="2" t="s">
        <v>9</v>
      </c>
      <c r="M103" s="2" t="s">
        <v>10</v>
      </c>
      <c r="N103" s="2" t="s">
        <v>11</v>
      </c>
      <c r="O103" s="2" t="s">
        <v>12</v>
      </c>
    </row>
    <row r="104" spans="1:15" x14ac:dyDescent="0.2">
      <c r="A104" s="2" t="s">
        <v>134</v>
      </c>
      <c r="B104" s="2">
        <v>2021</v>
      </c>
      <c r="C104" s="2">
        <v>2016</v>
      </c>
      <c r="D104" s="2" t="s">
        <v>265</v>
      </c>
      <c r="E104" s="2">
        <v>387</v>
      </c>
      <c r="F104" s="2">
        <v>3</v>
      </c>
      <c r="G104" s="2">
        <v>367</v>
      </c>
      <c r="H104" s="2">
        <v>17</v>
      </c>
      <c r="I104" s="2">
        <v>224</v>
      </c>
      <c r="J104" s="2" t="s">
        <v>21</v>
      </c>
      <c r="K104" s="2" t="s">
        <v>7</v>
      </c>
      <c r="L104" s="2" t="s">
        <v>9</v>
      </c>
      <c r="M104" s="2" t="s">
        <v>10</v>
      </c>
      <c r="N104" s="2" t="s">
        <v>263</v>
      </c>
      <c r="O104" s="2" t="s">
        <v>8</v>
      </c>
    </row>
    <row r="105" spans="1:15" x14ac:dyDescent="0.2">
      <c r="A105" s="2" t="s">
        <v>135</v>
      </c>
      <c r="B105" s="2">
        <v>2023</v>
      </c>
      <c r="C105" s="2">
        <v>2017</v>
      </c>
      <c r="D105" s="2" t="s">
        <v>265</v>
      </c>
      <c r="E105" s="2">
        <v>387</v>
      </c>
      <c r="F105" s="2">
        <v>8</v>
      </c>
      <c r="G105" s="2">
        <v>248</v>
      </c>
      <c r="H105" s="2">
        <v>131</v>
      </c>
      <c r="I105" s="2">
        <v>387</v>
      </c>
      <c r="J105" s="2" t="s">
        <v>30</v>
      </c>
      <c r="K105" s="2" t="s">
        <v>14</v>
      </c>
      <c r="L105" s="2" t="s">
        <v>15</v>
      </c>
      <c r="M105" s="2" t="s">
        <v>10</v>
      </c>
      <c r="N105" s="2" t="s">
        <v>11</v>
      </c>
      <c r="O105" s="2" t="s">
        <v>12</v>
      </c>
    </row>
    <row r="106" spans="1:15" x14ac:dyDescent="0.2">
      <c r="A106" s="2" t="s">
        <v>136</v>
      </c>
      <c r="B106" s="2">
        <v>2023</v>
      </c>
      <c r="C106" s="2">
        <v>2014</v>
      </c>
      <c r="D106" s="2" t="s">
        <v>264</v>
      </c>
      <c r="E106" s="2">
        <v>389</v>
      </c>
      <c r="F106" s="2">
        <v>2</v>
      </c>
      <c r="G106" s="2">
        <v>359</v>
      </c>
      <c r="H106" s="2">
        <v>28</v>
      </c>
      <c r="I106" s="2">
        <v>287</v>
      </c>
      <c r="J106" s="2" t="s">
        <v>6</v>
      </c>
      <c r="K106" s="2" t="s">
        <v>14</v>
      </c>
      <c r="L106" s="2" t="s">
        <v>9</v>
      </c>
      <c r="M106" s="2" t="s">
        <v>10</v>
      </c>
      <c r="N106" s="2" t="s">
        <v>11</v>
      </c>
      <c r="O106" s="2" t="s">
        <v>12</v>
      </c>
    </row>
    <row r="107" spans="1:15" x14ac:dyDescent="0.2">
      <c r="A107" s="2" t="s">
        <v>137</v>
      </c>
      <c r="B107" s="2">
        <v>2019</v>
      </c>
      <c r="C107" s="2">
        <v>2014</v>
      </c>
      <c r="D107" s="2" t="s">
        <v>264</v>
      </c>
      <c r="E107" s="2">
        <v>394</v>
      </c>
      <c r="F107" s="2">
        <v>1</v>
      </c>
      <c r="G107" s="2">
        <v>304</v>
      </c>
      <c r="H107" s="2">
        <v>89</v>
      </c>
      <c r="I107" s="2">
        <v>178</v>
      </c>
      <c r="J107" s="2" t="s">
        <v>6</v>
      </c>
      <c r="K107" s="2" t="s">
        <v>14</v>
      </c>
      <c r="L107" s="2" t="s">
        <v>15</v>
      </c>
      <c r="M107" s="2" t="s">
        <v>10</v>
      </c>
      <c r="N107" s="2" t="s">
        <v>8</v>
      </c>
      <c r="O107" s="2" t="s">
        <v>8</v>
      </c>
    </row>
    <row r="108" spans="1:15" x14ac:dyDescent="0.2">
      <c r="A108" s="2" t="s">
        <v>138</v>
      </c>
      <c r="B108" s="2">
        <v>2023</v>
      </c>
      <c r="C108" s="2">
        <v>2018</v>
      </c>
      <c r="D108" s="2" t="s">
        <v>265</v>
      </c>
      <c r="E108" s="2">
        <v>397</v>
      </c>
      <c r="F108" s="2">
        <v>0</v>
      </c>
      <c r="G108" s="2">
        <v>0</v>
      </c>
      <c r="H108" s="2">
        <v>397</v>
      </c>
      <c r="I108" s="2">
        <v>303</v>
      </c>
      <c r="J108" s="2" t="s">
        <v>18</v>
      </c>
      <c r="K108" s="2" t="s">
        <v>7</v>
      </c>
      <c r="L108" s="2" t="s">
        <v>9</v>
      </c>
      <c r="M108" s="2" t="s">
        <v>10</v>
      </c>
      <c r="N108" s="2" t="s">
        <v>263</v>
      </c>
      <c r="O108" s="2" t="s">
        <v>12</v>
      </c>
    </row>
    <row r="109" spans="1:15" x14ac:dyDescent="0.2">
      <c r="A109" s="2" t="s">
        <v>139</v>
      </c>
      <c r="B109" s="2">
        <v>2023</v>
      </c>
      <c r="C109" s="2">
        <v>2015</v>
      </c>
      <c r="D109" s="2" t="s">
        <v>264</v>
      </c>
      <c r="E109" s="2">
        <v>399</v>
      </c>
      <c r="F109" s="2">
        <v>6</v>
      </c>
      <c r="G109" s="2">
        <v>104</v>
      </c>
      <c r="H109" s="2">
        <v>300</v>
      </c>
      <c r="I109" s="2">
        <v>326</v>
      </c>
      <c r="J109" s="2" t="s">
        <v>56</v>
      </c>
      <c r="K109" s="2" t="s">
        <v>14</v>
      </c>
      <c r="L109" s="2" t="s">
        <v>15</v>
      </c>
      <c r="M109" s="2" t="s">
        <v>10</v>
      </c>
      <c r="N109" s="2" t="s">
        <v>263</v>
      </c>
      <c r="O109" s="2" t="s">
        <v>86</v>
      </c>
    </row>
    <row r="110" spans="1:15" x14ac:dyDescent="0.2">
      <c r="A110" s="2" t="s">
        <v>140</v>
      </c>
      <c r="B110" s="2">
        <v>2023</v>
      </c>
      <c r="C110" s="2">
        <v>2014</v>
      </c>
      <c r="D110" s="2" t="s">
        <v>264</v>
      </c>
      <c r="E110" s="2">
        <v>403</v>
      </c>
      <c r="F110" s="2">
        <v>4</v>
      </c>
      <c r="G110" s="2">
        <v>261</v>
      </c>
      <c r="H110" s="2">
        <v>138</v>
      </c>
      <c r="I110" s="2">
        <v>212</v>
      </c>
      <c r="J110" s="2" t="s">
        <v>6</v>
      </c>
      <c r="K110" s="2" t="s">
        <v>14</v>
      </c>
      <c r="L110" s="2" t="s">
        <v>9</v>
      </c>
      <c r="M110" s="2" t="s">
        <v>10</v>
      </c>
      <c r="N110" s="2" t="s">
        <v>263</v>
      </c>
      <c r="O110" s="2" t="s">
        <v>12</v>
      </c>
    </row>
    <row r="111" spans="1:15" x14ac:dyDescent="0.2">
      <c r="A111" s="2" t="s">
        <v>141</v>
      </c>
      <c r="B111" s="2">
        <v>2021</v>
      </c>
      <c r="C111" s="2">
        <v>2016</v>
      </c>
      <c r="D111" s="2" t="s">
        <v>265</v>
      </c>
      <c r="E111" s="2">
        <v>413</v>
      </c>
      <c r="F111" s="2">
        <v>19</v>
      </c>
      <c r="G111" s="2">
        <v>213</v>
      </c>
      <c r="H111" s="2">
        <v>181</v>
      </c>
      <c r="I111" s="2">
        <v>338</v>
      </c>
      <c r="J111" s="2" t="s">
        <v>56</v>
      </c>
      <c r="K111" s="2" t="s">
        <v>7</v>
      </c>
      <c r="L111" s="2" t="s">
        <v>9</v>
      </c>
      <c r="M111" s="2" t="s">
        <v>10</v>
      </c>
      <c r="N111" s="2" t="s">
        <v>26</v>
      </c>
      <c r="O111" s="2" t="s">
        <v>39</v>
      </c>
    </row>
    <row r="112" spans="1:15" x14ac:dyDescent="0.2">
      <c r="A112" s="2" t="s">
        <v>142</v>
      </c>
      <c r="B112" s="2">
        <v>2023</v>
      </c>
      <c r="C112" s="2">
        <v>2017</v>
      </c>
      <c r="D112" s="2" t="s">
        <v>265</v>
      </c>
      <c r="E112" s="2">
        <v>417</v>
      </c>
      <c r="F112" s="2">
        <v>8</v>
      </c>
      <c r="G112" s="2">
        <v>265</v>
      </c>
      <c r="H112" s="2">
        <v>144</v>
      </c>
      <c r="I112" s="2">
        <v>290</v>
      </c>
      <c r="J112" s="2" t="s">
        <v>6</v>
      </c>
      <c r="K112" s="2" t="s">
        <v>14</v>
      </c>
      <c r="L112" s="2" t="s">
        <v>15</v>
      </c>
      <c r="M112" s="2" t="s">
        <v>10</v>
      </c>
      <c r="N112" s="2" t="s">
        <v>11</v>
      </c>
      <c r="O112" s="2" t="s">
        <v>12</v>
      </c>
    </row>
    <row r="113" spans="1:15" x14ac:dyDescent="0.2">
      <c r="A113" s="2" t="s">
        <v>143</v>
      </c>
      <c r="B113" s="2">
        <v>2020</v>
      </c>
      <c r="C113" s="2">
        <v>2015</v>
      </c>
      <c r="D113" s="2" t="s">
        <v>264</v>
      </c>
      <c r="E113" s="2">
        <v>424</v>
      </c>
      <c r="F113" s="2">
        <v>12</v>
      </c>
      <c r="G113" s="2">
        <v>288</v>
      </c>
      <c r="H113" s="2">
        <v>124</v>
      </c>
      <c r="I113" s="2">
        <v>235</v>
      </c>
      <c r="J113" s="2" t="s">
        <v>56</v>
      </c>
      <c r="K113" s="2" t="s">
        <v>7</v>
      </c>
      <c r="L113" s="2" t="s">
        <v>9</v>
      </c>
      <c r="M113" s="2" t="s">
        <v>10</v>
      </c>
      <c r="N113" s="2" t="s">
        <v>11</v>
      </c>
      <c r="O113" s="2" t="s">
        <v>12</v>
      </c>
    </row>
    <row r="114" spans="1:15" x14ac:dyDescent="0.2">
      <c r="A114" s="2" t="s">
        <v>144</v>
      </c>
      <c r="B114" s="2">
        <v>2022</v>
      </c>
      <c r="C114" s="2">
        <v>2016</v>
      </c>
      <c r="D114" s="2" t="s">
        <v>265</v>
      </c>
      <c r="E114" s="2">
        <v>425</v>
      </c>
      <c r="F114" s="2">
        <v>0</v>
      </c>
      <c r="G114" s="2">
        <v>67</v>
      </c>
      <c r="H114" s="2">
        <v>358</v>
      </c>
      <c r="I114" s="2">
        <v>321</v>
      </c>
      <c r="J114" s="2" t="s">
        <v>18</v>
      </c>
      <c r="K114" s="2" t="s">
        <v>7</v>
      </c>
      <c r="L114" s="2" t="s">
        <v>15</v>
      </c>
      <c r="M114" s="2" t="s">
        <v>10</v>
      </c>
      <c r="N114" s="2" t="s">
        <v>11</v>
      </c>
      <c r="O114" s="2" t="s">
        <v>12</v>
      </c>
    </row>
    <row r="115" spans="1:15" x14ac:dyDescent="0.2">
      <c r="A115" s="2" t="s">
        <v>145</v>
      </c>
      <c r="B115" s="2">
        <v>2020</v>
      </c>
      <c r="C115" s="2">
        <v>2015</v>
      </c>
      <c r="D115" s="2" t="s">
        <v>264</v>
      </c>
      <c r="E115" s="2">
        <v>432</v>
      </c>
      <c r="F115" s="2">
        <v>8</v>
      </c>
      <c r="G115" s="2">
        <v>370</v>
      </c>
      <c r="H115" s="2">
        <v>54</v>
      </c>
      <c r="I115" s="2">
        <v>321</v>
      </c>
      <c r="J115" s="2" t="s">
        <v>56</v>
      </c>
      <c r="K115" s="2" t="s">
        <v>14</v>
      </c>
      <c r="L115" s="2" t="s">
        <v>9</v>
      </c>
      <c r="M115" s="2" t="s">
        <v>10</v>
      </c>
      <c r="N115" s="2" t="s">
        <v>11</v>
      </c>
      <c r="O115" s="2" t="s">
        <v>12</v>
      </c>
    </row>
    <row r="116" spans="1:15" x14ac:dyDescent="0.2">
      <c r="A116" s="2" t="s">
        <v>146</v>
      </c>
      <c r="B116" s="2">
        <v>2022</v>
      </c>
      <c r="C116" s="2">
        <v>2017</v>
      </c>
      <c r="D116" s="2" t="s">
        <v>265</v>
      </c>
      <c r="E116" s="2">
        <v>437</v>
      </c>
      <c r="F116" s="2">
        <v>6</v>
      </c>
      <c r="G116" s="2">
        <v>297</v>
      </c>
      <c r="H116" s="2">
        <v>134</v>
      </c>
      <c r="I116" s="2">
        <v>0</v>
      </c>
      <c r="J116" s="2" t="s">
        <v>46</v>
      </c>
      <c r="K116" s="2" t="s">
        <v>7</v>
      </c>
      <c r="L116" s="2" t="s">
        <v>15</v>
      </c>
      <c r="M116" s="2" t="s">
        <v>10</v>
      </c>
      <c r="N116" s="2" t="s">
        <v>42</v>
      </c>
      <c r="O116" s="2" t="s">
        <v>8</v>
      </c>
    </row>
    <row r="117" spans="1:15" x14ac:dyDescent="0.2">
      <c r="A117" s="2" t="s">
        <v>147</v>
      </c>
      <c r="B117" s="2">
        <v>2021</v>
      </c>
      <c r="C117" s="2">
        <v>2017</v>
      </c>
      <c r="D117" s="2" t="s">
        <v>265</v>
      </c>
      <c r="E117" s="2">
        <v>440</v>
      </c>
      <c r="F117" s="2">
        <v>0</v>
      </c>
      <c r="G117" s="2">
        <v>1</v>
      </c>
      <c r="H117" s="2">
        <v>439</v>
      </c>
      <c r="I117" s="2">
        <v>301</v>
      </c>
      <c r="J117" s="2" t="s">
        <v>56</v>
      </c>
      <c r="K117" s="2" t="s">
        <v>14</v>
      </c>
      <c r="L117" s="2" t="s">
        <v>9</v>
      </c>
      <c r="M117" s="2" t="s">
        <v>10</v>
      </c>
      <c r="N117" s="2" t="s">
        <v>11</v>
      </c>
      <c r="O117" s="2" t="s">
        <v>12</v>
      </c>
    </row>
    <row r="118" spans="1:15" x14ac:dyDescent="0.2">
      <c r="A118" s="2" t="s">
        <v>148</v>
      </c>
      <c r="B118" s="2">
        <v>2020</v>
      </c>
      <c r="C118" s="2">
        <v>2016</v>
      </c>
      <c r="D118" s="2" t="s">
        <v>265</v>
      </c>
      <c r="E118" s="2">
        <v>441</v>
      </c>
      <c r="F118" s="2" t="s">
        <v>8</v>
      </c>
      <c r="G118" s="2" t="s">
        <v>8</v>
      </c>
      <c r="H118" s="2" t="s">
        <v>8</v>
      </c>
      <c r="I118" s="2">
        <v>279</v>
      </c>
      <c r="J118" s="2" t="s">
        <v>18</v>
      </c>
      <c r="K118" s="2" t="s">
        <v>14</v>
      </c>
      <c r="L118" s="2" t="s">
        <v>9</v>
      </c>
      <c r="M118" s="2" t="s">
        <v>10</v>
      </c>
      <c r="N118" s="2" t="s">
        <v>11</v>
      </c>
      <c r="O118" s="2" t="s">
        <v>12</v>
      </c>
    </row>
    <row r="119" spans="1:15" x14ac:dyDescent="0.2">
      <c r="A119" s="2" t="s">
        <v>149</v>
      </c>
      <c r="B119" s="2">
        <v>2021</v>
      </c>
      <c r="C119" s="2">
        <v>2015</v>
      </c>
      <c r="D119" s="2" t="s">
        <v>264</v>
      </c>
      <c r="E119" s="2">
        <v>442</v>
      </c>
      <c r="F119" s="2">
        <v>8</v>
      </c>
      <c r="G119" s="2">
        <v>393</v>
      </c>
      <c r="H119" s="2">
        <v>41</v>
      </c>
      <c r="I119" s="2">
        <v>0</v>
      </c>
      <c r="J119" s="2" t="s">
        <v>44</v>
      </c>
      <c r="K119" s="2" t="s">
        <v>31</v>
      </c>
      <c r="L119" s="2" t="s">
        <v>15</v>
      </c>
      <c r="M119" s="2" t="s">
        <v>10</v>
      </c>
      <c r="N119" s="2" t="s">
        <v>11</v>
      </c>
      <c r="O119" s="2" t="s">
        <v>12</v>
      </c>
    </row>
    <row r="120" spans="1:15" x14ac:dyDescent="0.2">
      <c r="A120" s="2" t="s">
        <v>150</v>
      </c>
      <c r="B120" s="2">
        <v>2018</v>
      </c>
      <c r="C120" s="2">
        <v>2014</v>
      </c>
      <c r="D120" s="2" t="s">
        <v>264</v>
      </c>
      <c r="E120" s="2">
        <v>444</v>
      </c>
      <c r="F120" s="2" t="s">
        <v>8</v>
      </c>
      <c r="G120" s="2" t="s">
        <v>8</v>
      </c>
      <c r="H120" s="2" t="s">
        <v>8</v>
      </c>
      <c r="I120" s="2">
        <v>1</v>
      </c>
      <c r="J120" s="2" t="s">
        <v>46</v>
      </c>
      <c r="K120" s="2" t="s">
        <v>7</v>
      </c>
      <c r="L120" s="2" t="s">
        <v>9</v>
      </c>
      <c r="M120" s="2" t="s">
        <v>10</v>
      </c>
      <c r="N120" s="2" t="s">
        <v>42</v>
      </c>
      <c r="O120" s="2" t="s">
        <v>8</v>
      </c>
    </row>
    <row r="121" spans="1:15" x14ac:dyDescent="0.2">
      <c r="A121" s="2" t="s">
        <v>151</v>
      </c>
      <c r="B121" s="2">
        <v>2020</v>
      </c>
      <c r="C121" s="2">
        <v>2017</v>
      </c>
      <c r="D121" s="2" t="s">
        <v>265</v>
      </c>
      <c r="E121" s="2">
        <v>444</v>
      </c>
      <c r="F121" s="2">
        <v>2</v>
      </c>
      <c r="G121" s="2">
        <v>358</v>
      </c>
      <c r="H121" s="2">
        <v>84</v>
      </c>
      <c r="I121" s="2">
        <v>277</v>
      </c>
      <c r="J121" s="2" t="s">
        <v>18</v>
      </c>
      <c r="K121" s="2" t="s">
        <v>77</v>
      </c>
      <c r="L121" s="2" t="s">
        <v>15</v>
      </c>
      <c r="M121" s="2" t="s">
        <v>10</v>
      </c>
      <c r="N121" s="2" t="s">
        <v>11</v>
      </c>
      <c r="O121" s="2" t="s">
        <v>12</v>
      </c>
    </row>
    <row r="122" spans="1:15" x14ac:dyDescent="0.2">
      <c r="A122" s="2" t="s">
        <v>152</v>
      </c>
      <c r="B122" s="2">
        <v>2021</v>
      </c>
      <c r="C122" s="2">
        <v>2017</v>
      </c>
      <c r="D122" s="2" t="s">
        <v>265</v>
      </c>
      <c r="E122" s="2">
        <v>453</v>
      </c>
      <c r="F122" s="2">
        <v>1</v>
      </c>
      <c r="G122" s="2">
        <v>339</v>
      </c>
      <c r="H122" s="2">
        <v>113</v>
      </c>
      <c r="I122" s="2">
        <v>294</v>
      </c>
      <c r="J122" s="2" t="s">
        <v>18</v>
      </c>
      <c r="K122" s="2" t="s">
        <v>7</v>
      </c>
      <c r="L122" s="2" t="s">
        <v>9</v>
      </c>
      <c r="M122" s="2" t="s">
        <v>10</v>
      </c>
      <c r="N122" s="2" t="s">
        <v>263</v>
      </c>
      <c r="O122" s="2" t="s">
        <v>39</v>
      </c>
    </row>
    <row r="123" spans="1:15" x14ac:dyDescent="0.2">
      <c r="A123" s="2" t="s">
        <v>153</v>
      </c>
      <c r="B123" s="2">
        <v>2023</v>
      </c>
      <c r="C123" s="2">
        <v>2017</v>
      </c>
      <c r="D123" s="2" t="s">
        <v>265</v>
      </c>
      <c r="E123" s="2">
        <v>453</v>
      </c>
      <c r="F123" s="2">
        <v>3</v>
      </c>
      <c r="G123" s="2">
        <v>298</v>
      </c>
      <c r="H123" s="2">
        <v>152</v>
      </c>
      <c r="I123" s="2">
        <v>328</v>
      </c>
      <c r="J123" s="2" t="s">
        <v>18</v>
      </c>
      <c r="K123" s="2" t="s">
        <v>7</v>
      </c>
      <c r="L123" s="2" t="s">
        <v>15</v>
      </c>
      <c r="M123" s="2" t="s">
        <v>10</v>
      </c>
      <c r="N123" s="2" t="s">
        <v>263</v>
      </c>
      <c r="O123" s="2" t="s">
        <v>8</v>
      </c>
    </row>
    <row r="124" spans="1:15" x14ac:dyDescent="0.2">
      <c r="A124" s="2" t="s">
        <v>154</v>
      </c>
      <c r="B124" s="2">
        <v>2023</v>
      </c>
      <c r="C124" s="2">
        <v>2019</v>
      </c>
      <c r="D124" s="2" t="s">
        <v>266</v>
      </c>
      <c r="E124" s="2">
        <v>454</v>
      </c>
      <c r="F124" s="2">
        <v>21</v>
      </c>
      <c r="G124" s="2">
        <v>291</v>
      </c>
      <c r="H124" s="2">
        <v>142</v>
      </c>
      <c r="I124" s="2">
        <v>2</v>
      </c>
      <c r="J124" s="2" t="s">
        <v>46</v>
      </c>
      <c r="K124" s="2" t="s">
        <v>7</v>
      </c>
      <c r="L124" s="2" t="s">
        <v>9</v>
      </c>
      <c r="M124" s="2" t="s">
        <v>10</v>
      </c>
      <c r="N124" s="2" t="s">
        <v>11</v>
      </c>
      <c r="O124" s="2" t="s">
        <v>12</v>
      </c>
    </row>
    <row r="125" spans="1:15" x14ac:dyDescent="0.2">
      <c r="A125" s="2" t="s">
        <v>155</v>
      </c>
      <c r="B125" s="2">
        <v>2018</v>
      </c>
      <c r="C125" s="2">
        <v>2014</v>
      </c>
      <c r="D125" s="2" t="s">
        <v>264</v>
      </c>
      <c r="E125" s="2">
        <v>459</v>
      </c>
      <c r="F125" s="2" t="s">
        <v>8</v>
      </c>
      <c r="G125" s="2" t="s">
        <v>8</v>
      </c>
      <c r="H125" s="2" t="s">
        <v>8</v>
      </c>
      <c r="I125" s="2">
        <v>387</v>
      </c>
      <c r="J125" s="2" t="s">
        <v>35</v>
      </c>
      <c r="K125" s="2" t="s">
        <v>31</v>
      </c>
      <c r="L125" s="2" t="s">
        <v>9</v>
      </c>
      <c r="M125" s="2" t="s">
        <v>10</v>
      </c>
      <c r="N125" s="2" t="s">
        <v>11</v>
      </c>
      <c r="O125" s="2" t="s">
        <v>12</v>
      </c>
    </row>
    <row r="126" spans="1:15" x14ac:dyDescent="0.2">
      <c r="A126" s="2" t="s">
        <v>156</v>
      </c>
      <c r="B126" s="2">
        <v>2020</v>
      </c>
      <c r="C126" s="2">
        <v>2015</v>
      </c>
      <c r="D126" s="2" t="s">
        <v>264</v>
      </c>
      <c r="E126" s="2">
        <v>459</v>
      </c>
      <c r="F126" s="2" t="s">
        <v>8</v>
      </c>
      <c r="G126" s="2" t="s">
        <v>8</v>
      </c>
      <c r="H126" s="2" t="s">
        <v>8</v>
      </c>
      <c r="I126" s="2">
        <v>386</v>
      </c>
      <c r="J126" s="2" t="s">
        <v>56</v>
      </c>
      <c r="K126" s="2" t="s">
        <v>4</v>
      </c>
      <c r="L126" s="2" t="s">
        <v>9</v>
      </c>
      <c r="M126" s="2" t="s">
        <v>10</v>
      </c>
      <c r="N126" s="2" t="s">
        <v>11</v>
      </c>
      <c r="O126" s="2" t="s">
        <v>12</v>
      </c>
    </row>
    <row r="127" spans="1:15" x14ac:dyDescent="0.2">
      <c r="A127" s="2" t="s">
        <v>157</v>
      </c>
      <c r="B127" s="2">
        <v>2020</v>
      </c>
      <c r="C127" s="2">
        <v>2017</v>
      </c>
      <c r="D127" s="2" t="s">
        <v>265</v>
      </c>
      <c r="E127" s="2">
        <v>460</v>
      </c>
      <c r="F127" s="2">
        <v>0</v>
      </c>
      <c r="G127" s="2">
        <v>146</v>
      </c>
      <c r="H127" s="2">
        <v>314</v>
      </c>
      <c r="I127" s="2">
        <v>353</v>
      </c>
      <c r="J127" s="2" t="s">
        <v>56</v>
      </c>
      <c r="K127" s="2" t="s">
        <v>14</v>
      </c>
      <c r="L127" s="2" t="s">
        <v>9</v>
      </c>
      <c r="M127" s="2" t="s">
        <v>10</v>
      </c>
      <c r="N127" s="2" t="s">
        <v>263</v>
      </c>
      <c r="O127" s="2" t="s">
        <v>12</v>
      </c>
    </row>
    <row r="128" spans="1:15" x14ac:dyDescent="0.2">
      <c r="A128" s="2" t="s">
        <v>158</v>
      </c>
      <c r="B128" s="2">
        <v>2021</v>
      </c>
      <c r="C128" s="2">
        <v>2017</v>
      </c>
      <c r="D128" s="2" t="s">
        <v>265</v>
      </c>
      <c r="E128" s="2">
        <v>466</v>
      </c>
      <c r="F128" s="2">
        <v>9</v>
      </c>
      <c r="G128" s="2">
        <v>366</v>
      </c>
      <c r="H128" s="2">
        <v>91</v>
      </c>
      <c r="I128" s="2">
        <v>268</v>
      </c>
      <c r="J128" s="2" t="s">
        <v>6</v>
      </c>
      <c r="K128" s="2" t="s">
        <v>14</v>
      </c>
      <c r="L128" s="2" t="s">
        <v>9</v>
      </c>
      <c r="M128" s="2" t="s">
        <v>10</v>
      </c>
      <c r="N128" s="2" t="s">
        <v>11</v>
      </c>
      <c r="O128" s="2" t="s">
        <v>86</v>
      </c>
    </row>
    <row r="129" spans="1:15" x14ac:dyDescent="0.2">
      <c r="A129" s="2" t="s">
        <v>159</v>
      </c>
      <c r="B129" s="2">
        <v>2021</v>
      </c>
      <c r="C129" s="2">
        <v>2018</v>
      </c>
      <c r="D129" s="2" t="s">
        <v>265</v>
      </c>
      <c r="E129" s="2">
        <v>476</v>
      </c>
      <c r="F129" s="2">
        <v>14</v>
      </c>
      <c r="G129" s="2">
        <v>282</v>
      </c>
      <c r="H129" s="2">
        <v>180</v>
      </c>
      <c r="I129" s="2">
        <v>318</v>
      </c>
      <c r="J129" s="2" t="s">
        <v>56</v>
      </c>
      <c r="K129" s="2" t="s">
        <v>14</v>
      </c>
      <c r="L129" s="2" t="s">
        <v>9</v>
      </c>
      <c r="M129" s="2" t="s">
        <v>10</v>
      </c>
      <c r="N129" s="2" t="s">
        <v>11</v>
      </c>
      <c r="O129" s="2" t="s">
        <v>86</v>
      </c>
    </row>
    <row r="130" spans="1:15" x14ac:dyDescent="0.2">
      <c r="A130" s="2" t="s">
        <v>160</v>
      </c>
      <c r="B130" s="2">
        <v>2019</v>
      </c>
      <c r="C130" s="2">
        <v>2015</v>
      </c>
      <c r="D130" s="2" t="s">
        <v>264</v>
      </c>
      <c r="E130" s="2">
        <v>478</v>
      </c>
      <c r="F130" s="2">
        <v>5</v>
      </c>
      <c r="G130" s="2">
        <v>402</v>
      </c>
      <c r="H130" s="2">
        <v>71</v>
      </c>
      <c r="I130" s="2">
        <v>260</v>
      </c>
      <c r="J130" s="2" t="s">
        <v>6</v>
      </c>
      <c r="K130" s="2" t="s">
        <v>31</v>
      </c>
      <c r="L130" s="2" t="s">
        <v>15</v>
      </c>
      <c r="M130" s="2" t="s">
        <v>10</v>
      </c>
      <c r="N130" s="2" t="s">
        <v>11</v>
      </c>
      <c r="O130" s="2" t="s">
        <v>12</v>
      </c>
    </row>
    <row r="131" spans="1:15" x14ac:dyDescent="0.2">
      <c r="A131" s="2" t="s">
        <v>161</v>
      </c>
      <c r="B131" s="2">
        <v>2020</v>
      </c>
      <c r="C131" s="2">
        <v>2017</v>
      </c>
      <c r="D131" s="2" t="s">
        <v>265</v>
      </c>
      <c r="E131" s="2">
        <v>483</v>
      </c>
      <c r="F131" s="2">
        <v>6</v>
      </c>
      <c r="G131" s="2">
        <v>277</v>
      </c>
      <c r="H131" s="2">
        <v>243</v>
      </c>
      <c r="I131" s="2">
        <v>365</v>
      </c>
      <c r="J131" s="2" t="s">
        <v>18</v>
      </c>
      <c r="K131" s="2" t="s">
        <v>14</v>
      </c>
      <c r="L131" s="2" t="s">
        <v>9</v>
      </c>
      <c r="M131" s="2" t="s">
        <v>10</v>
      </c>
      <c r="N131" s="2" t="s">
        <v>11</v>
      </c>
      <c r="O131" s="2" t="s">
        <v>12</v>
      </c>
    </row>
    <row r="132" spans="1:15" x14ac:dyDescent="0.2">
      <c r="A132" s="2" t="s">
        <v>162</v>
      </c>
      <c r="B132" s="2">
        <v>2023</v>
      </c>
      <c r="C132" s="2">
        <v>2018</v>
      </c>
      <c r="D132" s="2" t="s">
        <v>265</v>
      </c>
      <c r="E132" s="2">
        <v>491</v>
      </c>
      <c r="F132" s="2">
        <v>8</v>
      </c>
      <c r="G132" s="2">
        <v>396</v>
      </c>
      <c r="H132" s="2">
        <v>87</v>
      </c>
      <c r="I132" s="2">
        <v>325</v>
      </c>
      <c r="J132" s="2" t="s">
        <v>18</v>
      </c>
      <c r="K132" s="2" t="s">
        <v>31</v>
      </c>
      <c r="L132" s="2" t="s">
        <v>15</v>
      </c>
      <c r="M132" s="2" t="s">
        <v>10</v>
      </c>
      <c r="N132" s="2" t="s">
        <v>11</v>
      </c>
      <c r="O132" s="2" t="s">
        <v>12</v>
      </c>
    </row>
    <row r="133" spans="1:15" x14ac:dyDescent="0.2">
      <c r="A133" s="2" t="s">
        <v>163</v>
      </c>
      <c r="B133" s="2">
        <v>2023</v>
      </c>
      <c r="C133" s="2">
        <v>2017</v>
      </c>
      <c r="D133" s="2" t="s">
        <v>265</v>
      </c>
      <c r="E133" s="2">
        <v>495</v>
      </c>
      <c r="F133" s="2">
        <v>8</v>
      </c>
      <c r="G133" s="2">
        <v>446</v>
      </c>
      <c r="H133" s="2">
        <v>41</v>
      </c>
      <c r="I133" s="2">
        <v>279</v>
      </c>
      <c r="J133" s="2" t="s">
        <v>6</v>
      </c>
      <c r="K133" s="2" t="s">
        <v>31</v>
      </c>
      <c r="L133" s="2" t="s">
        <v>9</v>
      </c>
      <c r="M133" s="2" t="s">
        <v>10</v>
      </c>
      <c r="N133" s="2" t="s">
        <v>263</v>
      </c>
      <c r="O133" s="2" t="s">
        <v>12</v>
      </c>
    </row>
    <row r="134" spans="1:15" x14ac:dyDescent="0.2">
      <c r="A134" s="2" t="s">
        <v>164</v>
      </c>
      <c r="B134" s="2">
        <v>2023</v>
      </c>
      <c r="C134" s="2">
        <v>2014</v>
      </c>
      <c r="D134" s="2" t="s">
        <v>264</v>
      </c>
      <c r="E134" s="2">
        <v>495</v>
      </c>
      <c r="F134" s="2">
        <v>10</v>
      </c>
      <c r="G134" s="2">
        <v>413</v>
      </c>
      <c r="H134" s="2">
        <v>72</v>
      </c>
      <c r="I134" s="2">
        <v>412</v>
      </c>
      <c r="J134" s="2" t="s">
        <v>35</v>
      </c>
      <c r="K134" s="2" t="s">
        <v>7</v>
      </c>
      <c r="L134" s="2" t="s">
        <v>15</v>
      </c>
      <c r="M134" s="2" t="s">
        <v>10</v>
      </c>
      <c r="N134" s="2" t="s">
        <v>263</v>
      </c>
      <c r="O134" s="2" t="s">
        <v>86</v>
      </c>
    </row>
    <row r="135" spans="1:15" x14ac:dyDescent="0.2">
      <c r="A135" s="2" t="s">
        <v>165</v>
      </c>
      <c r="B135" s="2">
        <v>2021</v>
      </c>
      <c r="C135" s="2">
        <v>2015</v>
      </c>
      <c r="D135" s="2" t="s">
        <v>264</v>
      </c>
      <c r="E135" s="2">
        <v>499</v>
      </c>
      <c r="F135" s="2">
        <v>3</v>
      </c>
      <c r="G135" s="2">
        <v>332</v>
      </c>
      <c r="H135" s="2">
        <v>164</v>
      </c>
      <c r="I135" s="2">
        <v>331</v>
      </c>
      <c r="J135" s="2" t="s">
        <v>56</v>
      </c>
      <c r="K135" s="2" t="s">
        <v>7</v>
      </c>
      <c r="L135" s="2" t="s">
        <v>15</v>
      </c>
      <c r="M135" s="2" t="s">
        <v>10</v>
      </c>
      <c r="N135" s="2" t="s">
        <v>11</v>
      </c>
      <c r="O135" s="2" t="s">
        <v>12</v>
      </c>
    </row>
    <row r="136" spans="1:15" x14ac:dyDescent="0.2">
      <c r="A136" s="2" t="s">
        <v>166</v>
      </c>
      <c r="B136" s="2">
        <v>2023</v>
      </c>
      <c r="C136" s="2">
        <v>2018</v>
      </c>
      <c r="D136" s="2" t="s">
        <v>265</v>
      </c>
      <c r="E136" s="2">
        <v>500</v>
      </c>
      <c r="F136" s="2">
        <v>6</v>
      </c>
      <c r="G136" s="2">
        <v>329</v>
      </c>
      <c r="H136" s="2">
        <v>165</v>
      </c>
      <c r="I136" s="2">
        <v>2</v>
      </c>
      <c r="J136" s="2" t="s">
        <v>46</v>
      </c>
      <c r="K136" s="2" t="s">
        <v>7</v>
      </c>
      <c r="L136" s="2" t="s">
        <v>9</v>
      </c>
      <c r="M136" s="2" t="s">
        <v>10</v>
      </c>
      <c r="N136" s="2" t="s">
        <v>42</v>
      </c>
      <c r="O136" s="2" t="s">
        <v>8</v>
      </c>
    </row>
    <row r="137" spans="1:15" x14ac:dyDescent="0.2">
      <c r="A137" s="2" t="s">
        <v>167</v>
      </c>
      <c r="B137" s="2">
        <v>2023</v>
      </c>
      <c r="C137" s="2">
        <v>2018</v>
      </c>
      <c r="D137" s="2" t="s">
        <v>265</v>
      </c>
      <c r="E137" s="2">
        <v>501</v>
      </c>
      <c r="F137" s="2">
        <v>3</v>
      </c>
      <c r="G137" s="2">
        <v>421</v>
      </c>
      <c r="H137" s="2">
        <v>77</v>
      </c>
      <c r="I137" s="2">
        <v>273</v>
      </c>
      <c r="J137" s="2" t="s">
        <v>6</v>
      </c>
      <c r="K137" s="2" t="s">
        <v>14</v>
      </c>
      <c r="L137" s="2" t="s">
        <v>9</v>
      </c>
      <c r="M137" s="2" t="s">
        <v>10</v>
      </c>
      <c r="N137" s="2" t="s">
        <v>11</v>
      </c>
      <c r="O137" s="2" t="s">
        <v>12</v>
      </c>
    </row>
    <row r="138" spans="1:15" x14ac:dyDescent="0.2">
      <c r="A138" s="2" t="s">
        <v>168</v>
      </c>
      <c r="B138" s="2">
        <v>2021</v>
      </c>
      <c r="C138" s="2">
        <v>2016</v>
      </c>
      <c r="D138" s="2" t="s">
        <v>265</v>
      </c>
      <c r="E138" s="2">
        <v>502</v>
      </c>
      <c r="F138" s="2">
        <v>1</v>
      </c>
      <c r="G138" s="2">
        <v>487</v>
      </c>
      <c r="H138" s="2">
        <v>14</v>
      </c>
      <c r="I138" s="2">
        <v>5</v>
      </c>
      <c r="J138" s="2" t="s">
        <v>46</v>
      </c>
      <c r="K138" s="2" t="s">
        <v>70</v>
      </c>
      <c r="L138" s="2" t="s">
        <v>15</v>
      </c>
      <c r="M138" s="2" t="s">
        <v>10</v>
      </c>
      <c r="N138" s="2" t="s">
        <v>263</v>
      </c>
      <c r="O138" s="2" t="s">
        <v>12</v>
      </c>
    </row>
    <row r="139" spans="1:15" x14ac:dyDescent="0.2">
      <c r="A139" s="2" t="s">
        <v>169</v>
      </c>
      <c r="B139" s="2">
        <v>2023</v>
      </c>
      <c r="C139" s="2">
        <v>2015</v>
      </c>
      <c r="D139" s="2" t="s">
        <v>264</v>
      </c>
      <c r="E139" s="2">
        <v>504</v>
      </c>
      <c r="F139" s="2">
        <v>0</v>
      </c>
      <c r="G139" s="2">
        <v>45</v>
      </c>
      <c r="H139" s="2">
        <v>459</v>
      </c>
      <c r="I139" s="2">
        <v>397</v>
      </c>
      <c r="J139" s="2" t="s">
        <v>18</v>
      </c>
      <c r="K139" s="2" t="s">
        <v>7</v>
      </c>
      <c r="L139" s="2" t="s">
        <v>15</v>
      </c>
      <c r="M139" s="2" t="s">
        <v>10</v>
      </c>
      <c r="N139" s="2" t="s">
        <v>263</v>
      </c>
      <c r="O139" s="2" t="s">
        <v>12</v>
      </c>
    </row>
    <row r="140" spans="1:15" x14ac:dyDescent="0.2">
      <c r="A140" s="2" t="s">
        <v>170</v>
      </c>
      <c r="B140" s="2">
        <v>2022</v>
      </c>
      <c r="C140" s="2">
        <v>2018</v>
      </c>
      <c r="D140" s="2" t="s">
        <v>265</v>
      </c>
      <c r="E140" s="2">
        <v>512</v>
      </c>
      <c r="F140" s="2">
        <v>7</v>
      </c>
      <c r="G140" s="2">
        <v>483</v>
      </c>
      <c r="H140" s="2">
        <v>22</v>
      </c>
      <c r="I140" s="2">
        <v>267</v>
      </c>
      <c r="J140" s="2" t="s">
        <v>56</v>
      </c>
      <c r="K140" s="2" t="s">
        <v>31</v>
      </c>
      <c r="L140" s="2" t="s">
        <v>9</v>
      </c>
      <c r="M140" s="2" t="s">
        <v>10</v>
      </c>
      <c r="N140" s="2" t="s">
        <v>11</v>
      </c>
      <c r="O140" s="2" t="s">
        <v>8</v>
      </c>
    </row>
    <row r="141" spans="1:15" x14ac:dyDescent="0.2">
      <c r="A141" s="2" t="s">
        <v>171</v>
      </c>
      <c r="B141" s="2">
        <v>2023</v>
      </c>
      <c r="C141" s="2">
        <v>2016</v>
      </c>
      <c r="D141" s="2" t="s">
        <v>265</v>
      </c>
      <c r="E141" s="2">
        <v>513</v>
      </c>
      <c r="F141" s="2">
        <v>3</v>
      </c>
      <c r="G141" s="2">
        <v>322</v>
      </c>
      <c r="H141" s="2">
        <v>188</v>
      </c>
      <c r="I141" s="2">
        <v>348</v>
      </c>
      <c r="J141" s="2" t="s">
        <v>18</v>
      </c>
      <c r="K141" s="2" t="s">
        <v>7</v>
      </c>
      <c r="L141" s="2" t="s">
        <v>9</v>
      </c>
      <c r="M141" s="2" t="s">
        <v>10</v>
      </c>
      <c r="N141" s="2" t="s">
        <v>42</v>
      </c>
      <c r="O141" s="2" t="s">
        <v>8</v>
      </c>
    </row>
    <row r="142" spans="1:15" x14ac:dyDescent="0.2">
      <c r="A142" s="2" t="s">
        <v>172</v>
      </c>
      <c r="B142" s="2">
        <v>2022</v>
      </c>
      <c r="C142" s="2">
        <v>2018</v>
      </c>
      <c r="D142" s="2" t="s">
        <v>265</v>
      </c>
      <c r="E142" s="2">
        <v>528</v>
      </c>
      <c r="F142" s="2">
        <v>17</v>
      </c>
      <c r="G142" s="2">
        <v>401</v>
      </c>
      <c r="H142" s="2">
        <v>110</v>
      </c>
      <c r="I142" s="2">
        <v>314</v>
      </c>
      <c r="J142" s="2" t="s">
        <v>56</v>
      </c>
      <c r="K142" s="2" t="s">
        <v>14</v>
      </c>
      <c r="L142" s="2" t="s">
        <v>9</v>
      </c>
      <c r="M142" s="2" t="s">
        <v>10</v>
      </c>
      <c r="N142" s="2" t="s">
        <v>11</v>
      </c>
      <c r="O142" s="2" t="s">
        <v>12</v>
      </c>
    </row>
    <row r="143" spans="1:15" x14ac:dyDescent="0.2">
      <c r="A143" s="2" t="s">
        <v>173</v>
      </c>
      <c r="B143" s="2">
        <v>2022</v>
      </c>
      <c r="C143" s="2">
        <v>2017</v>
      </c>
      <c r="D143" s="2" t="s">
        <v>265</v>
      </c>
      <c r="E143" s="2">
        <v>529</v>
      </c>
      <c r="F143" s="2">
        <v>62</v>
      </c>
      <c r="G143" s="2">
        <v>418</v>
      </c>
      <c r="H143" s="2">
        <v>49</v>
      </c>
      <c r="I143" s="2">
        <v>2</v>
      </c>
      <c r="J143" s="2" t="s">
        <v>46</v>
      </c>
      <c r="K143" s="2" t="s">
        <v>14</v>
      </c>
      <c r="L143" s="2" t="s">
        <v>15</v>
      </c>
      <c r="M143" s="2" t="s">
        <v>10</v>
      </c>
      <c r="N143" s="2" t="s">
        <v>11</v>
      </c>
      <c r="O143" s="2" t="s">
        <v>12</v>
      </c>
    </row>
    <row r="144" spans="1:15" x14ac:dyDescent="0.2">
      <c r="A144" s="2" t="s">
        <v>174</v>
      </c>
      <c r="B144" s="2">
        <v>2023</v>
      </c>
      <c r="C144" s="2">
        <v>2015</v>
      </c>
      <c r="D144" s="2" t="s">
        <v>264</v>
      </c>
      <c r="E144" s="2">
        <v>530</v>
      </c>
      <c r="F144" s="2">
        <v>5</v>
      </c>
      <c r="G144" s="2">
        <v>407</v>
      </c>
      <c r="H144" s="2">
        <v>118</v>
      </c>
      <c r="I144" s="2">
        <v>428</v>
      </c>
      <c r="J144" s="2" t="s">
        <v>30</v>
      </c>
      <c r="K144" s="2" t="s">
        <v>14</v>
      </c>
      <c r="L144" s="2" t="s">
        <v>9</v>
      </c>
      <c r="M144" s="2" t="s">
        <v>10</v>
      </c>
      <c r="N144" s="2" t="s">
        <v>11</v>
      </c>
      <c r="O144" s="2" t="s">
        <v>12</v>
      </c>
    </row>
    <row r="145" spans="1:15" x14ac:dyDescent="0.2">
      <c r="A145" s="2" t="s">
        <v>175</v>
      </c>
      <c r="B145" s="2">
        <v>2020</v>
      </c>
      <c r="C145" s="2">
        <v>2015</v>
      </c>
      <c r="D145" s="2" t="s">
        <v>264</v>
      </c>
      <c r="E145" s="2">
        <v>533</v>
      </c>
      <c r="F145" s="2">
        <v>0</v>
      </c>
      <c r="G145" s="2">
        <v>521</v>
      </c>
      <c r="H145" s="2">
        <v>12</v>
      </c>
      <c r="I145" s="2">
        <v>316</v>
      </c>
      <c r="J145" s="2" t="s">
        <v>21</v>
      </c>
      <c r="K145" s="2" t="s">
        <v>7</v>
      </c>
      <c r="L145" s="2" t="s">
        <v>9</v>
      </c>
      <c r="M145" s="2" t="s">
        <v>10</v>
      </c>
      <c r="N145" s="2" t="s">
        <v>263</v>
      </c>
      <c r="O145" s="2" t="s">
        <v>8</v>
      </c>
    </row>
    <row r="146" spans="1:15" x14ac:dyDescent="0.2">
      <c r="A146" s="2" t="s">
        <v>176</v>
      </c>
      <c r="B146" s="2">
        <v>2020</v>
      </c>
      <c r="C146" s="2">
        <v>2014</v>
      </c>
      <c r="D146" s="2" t="s">
        <v>264</v>
      </c>
      <c r="E146" s="2">
        <v>536</v>
      </c>
      <c r="F146" s="2" t="s">
        <v>8</v>
      </c>
      <c r="G146" s="2" t="s">
        <v>8</v>
      </c>
      <c r="H146" s="2" t="s">
        <v>8</v>
      </c>
      <c r="I146" s="2">
        <v>311</v>
      </c>
      <c r="J146" s="2" t="s">
        <v>6</v>
      </c>
      <c r="K146" s="2" t="s">
        <v>14</v>
      </c>
      <c r="L146" s="2" t="s">
        <v>15</v>
      </c>
      <c r="M146" s="2" t="s">
        <v>10</v>
      </c>
      <c r="N146" s="2" t="s">
        <v>42</v>
      </c>
      <c r="O146" s="2" t="s">
        <v>8</v>
      </c>
    </row>
    <row r="147" spans="1:15" x14ac:dyDescent="0.2">
      <c r="A147" s="2" t="s">
        <v>177</v>
      </c>
      <c r="B147" s="2">
        <v>2017</v>
      </c>
      <c r="C147" s="2">
        <v>2014</v>
      </c>
      <c r="D147" s="2" t="s">
        <v>264</v>
      </c>
      <c r="E147" s="2">
        <v>541</v>
      </c>
      <c r="F147" s="2">
        <v>16</v>
      </c>
      <c r="G147" s="2">
        <v>470</v>
      </c>
      <c r="H147" s="2">
        <v>55</v>
      </c>
      <c r="I147" s="2">
        <v>332</v>
      </c>
      <c r="J147" s="2" t="s">
        <v>18</v>
      </c>
      <c r="K147" s="2" t="s">
        <v>7</v>
      </c>
      <c r="L147" s="2" t="s">
        <v>15</v>
      </c>
      <c r="M147" s="2" t="s">
        <v>10</v>
      </c>
      <c r="N147" s="2" t="s">
        <v>8</v>
      </c>
      <c r="O147" s="2" t="s">
        <v>8</v>
      </c>
    </row>
    <row r="148" spans="1:15" x14ac:dyDescent="0.2">
      <c r="A148" s="2" t="s">
        <v>178</v>
      </c>
      <c r="B148" s="2">
        <v>2020</v>
      </c>
      <c r="C148" s="2">
        <v>2014</v>
      </c>
      <c r="D148" s="2" t="s">
        <v>264</v>
      </c>
      <c r="E148" s="2">
        <v>542</v>
      </c>
      <c r="F148" s="2"/>
      <c r="G148" s="2"/>
      <c r="H148" s="2"/>
      <c r="I148" s="2">
        <v>402</v>
      </c>
      <c r="J148" s="2" t="s">
        <v>30</v>
      </c>
      <c r="K148" s="2" t="s">
        <v>7</v>
      </c>
      <c r="L148" s="2" t="s">
        <v>15</v>
      </c>
      <c r="M148" s="2" t="s">
        <v>10</v>
      </c>
      <c r="N148" s="2" t="s">
        <v>263</v>
      </c>
      <c r="O148" s="2" t="s">
        <v>8</v>
      </c>
    </row>
    <row r="149" spans="1:15" x14ac:dyDescent="0.2">
      <c r="A149" s="2" t="s">
        <v>179</v>
      </c>
      <c r="B149" s="2">
        <v>2023</v>
      </c>
      <c r="C149" s="2">
        <v>2016</v>
      </c>
      <c r="D149" s="2" t="s">
        <v>265</v>
      </c>
      <c r="E149" s="2">
        <v>559</v>
      </c>
      <c r="F149" s="2">
        <v>7</v>
      </c>
      <c r="G149" s="2">
        <v>430</v>
      </c>
      <c r="H149" s="2">
        <v>122</v>
      </c>
      <c r="I149" s="2">
        <v>455</v>
      </c>
      <c r="J149" s="2" t="s">
        <v>18</v>
      </c>
      <c r="K149" s="2" t="s">
        <v>7</v>
      </c>
      <c r="L149" s="2" t="s">
        <v>9</v>
      </c>
      <c r="M149" s="2" t="s">
        <v>10</v>
      </c>
      <c r="N149" s="2" t="s">
        <v>263</v>
      </c>
      <c r="O149" s="2" t="s">
        <v>39</v>
      </c>
    </row>
    <row r="150" spans="1:15" x14ac:dyDescent="0.2">
      <c r="A150" s="2" t="s">
        <v>180</v>
      </c>
      <c r="B150" s="2">
        <v>2023</v>
      </c>
      <c r="C150" s="2">
        <v>2016</v>
      </c>
      <c r="D150" s="2" t="s">
        <v>265</v>
      </c>
      <c r="E150" s="2">
        <v>560</v>
      </c>
      <c r="F150" s="2">
        <v>7</v>
      </c>
      <c r="G150" s="2">
        <v>471</v>
      </c>
      <c r="H150" s="2">
        <v>82</v>
      </c>
      <c r="I150" s="2">
        <v>365</v>
      </c>
      <c r="J150" s="2" t="s">
        <v>35</v>
      </c>
      <c r="K150" s="2" t="s">
        <v>7</v>
      </c>
      <c r="L150" s="2" t="s">
        <v>15</v>
      </c>
      <c r="M150" s="2" t="s">
        <v>10</v>
      </c>
      <c r="N150" s="2" t="s">
        <v>263</v>
      </c>
      <c r="O150" s="2" t="s">
        <v>12</v>
      </c>
    </row>
    <row r="151" spans="1:15" x14ac:dyDescent="0.2">
      <c r="A151" s="2" t="s">
        <v>181</v>
      </c>
      <c r="B151" s="2">
        <v>2022</v>
      </c>
      <c r="C151" s="2">
        <v>2014</v>
      </c>
      <c r="D151" s="2" t="s">
        <v>264</v>
      </c>
      <c r="E151" s="2">
        <v>562</v>
      </c>
      <c r="F151" s="2" t="s">
        <v>8</v>
      </c>
      <c r="G151" s="2" t="s">
        <v>8</v>
      </c>
      <c r="H151" s="2" t="s">
        <v>8</v>
      </c>
      <c r="I151" s="2">
        <v>0</v>
      </c>
      <c r="J151" s="2" t="s">
        <v>46</v>
      </c>
      <c r="K151" s="2" t="s">
        <v>14</v>
      </c>
      <c r="L151" s="2" t="s">
        <v>15</v>
      </c>
      <c r="M151" s="2" t="s">
        <v>10</v>
      </c>
      <c r="N151" s="2" t="s">
        <v>8</v>
      </c>
      <c r="O151" s="2" t="s">
        <v>8</v>
      </c>
    </row>
    <row r="152" spans="1:15" x14ac:dyDescent="0.2">
      <c r="A152" s="2" t="s">
        <v>182</v>
      </c>
      <c r="B152" s="2">
        <v>2022</v>
      </c>
      <c r="C152" s="2">
        <v>2014</v>
      </c>
      <c r="D152" s="2" t="s">
        <v>264</v>
      </c>
      <c r="E152" s="2">
        <v>564</v>
      </c>
      <c r="F152" s="2">
        <v>8</v>
      </c>
      <c r="G152" s="2">
        <v>436</v>
      </c>
      <c r="H152" s="2">
        <v>120</v>
      </c>
      <c r="I152" s="2">
        <v>0</v>
      </c>
      <c r="J152" s="2" t="s">
        <v>44</v>
      </c>
      <c r="K152" s="2" t="s">
        <v>14</v>
      </c>
      <c r="L152" s="2" t="s">
        <v>15</v>
      </c>
      <c r="M152" s="2" t="s">
        <v>10</v>
      </c>
      <c r="N152" s="2" t="s">
        <v>263</v>
      </c>
      <c r="O152" s="2" t="s">
        <v>12</v>
      </c>
    </row>
    <row r="153" spans="1:15" x14ac:dyDescent="0.2">
      <c r="A153" s="2" t="s">
        <v>183</v>
      </c>
      <c r="B153" s="2">
        <v>2022</v>
      </c>
      <c r="C153" s="2">
        <v>2015</v>
      </c>
      <c r="D153" s="2" t="s">
        <v>264</v>
      </c>
      <c r="E153" s="2">
        <v>566</v>
      </c>
      <c r="F153" s="2">
        <v>1</v>
      </c>
      <c r="G153" s="2">
        <v>416</v>
      </c>
      <c r="H153" s="2">
        <v>149</v>
      </c>
      <c r="I153" s="2">
        <v>0</v>
      </c>
      <c r="J153" s="2" t="s">
        <v>44</v>
      </c>
      <c r="K153" s="2" t="s">
        <v>7</v>
      </c>
      <c r="L153" s="2" t="s">
        <v>9</v>
      </c>
      <c r="M153" s="2" t="s">
        <v>10</v>
      </c>
      <c r="N153" s="2" t="s">
        <v>263</v>
      </c>
      <c r="O153" s="2" t="s">
        <v>12</v>
      </c>
    </row>
    <row r="154" spans="1:15" x14ac:dyDescent="0.2">
      <c r="A154" s="2" t="s">
        <v>184</v>
      </c>
      <c r="B154" s="2">
        <v>2020</v>
      </c>
      <c r="C154" s="2">
        <v>2016</v>
      </c>
      <c r="D154" s="2" t="s">
        <v>265</v>
      </c>
      <c r="E154" s="2">
        <v>567</v>
      </c>
      <c r="F154" s="2">
        <v>16</v>
      </c>
      <c r="G154" s="2">
        <v>420</v>
      </c>
      <c r="H154" s="2">
        <v>131</v>
      </c>
      <c r="I154" s="2">
        <v>300</v>
      </c>
      <c r="J154" s="2" t="s">
        <v>56</v>
      </c>
      <c r="K154" s="2" t="s">
        <v>14</v>
      </c>
      <c r="L154" s="2" t="s">
        <v>9</v>
      </c>
      <c r="M154" s="2" t="s">
        <v>10</v>
      </c>
      <c r="N154" s="2" t="s">
        <v>32</v>
      </c>
      <c r="O154" s="2" t="s">
        <v>50</v>
      </c>
    </row>
    <row r="155" spans="1:15" x14ac:dyDescent="0.2">
      <c r="A155" s="2" t="s">
        <v>184</v>
      </c>
      <c r="B155" s="2">
        <v>2021</v>
      </c>
      <c r="C155" s="2">
        <v>2017</v>
      </c>
      <c r="D155" s="2" t="s">
        <v>265</v>
      </c>
      <c r="E155" s="2">
        <v>567</v>
      </c>
      <c r="F155" s="2">
        <v>16</v>
      </c>
      <c r="G155" s="2">
        <v>420</v>
      </c>
      <c r="H155" s="2">
        <v>131</v>
      </c>
      <c r="I155" s="2">
        <v>300</v>
      </c>
      <c r="J155" s="2" t="s">
        <v>56</v>
      </c>
      <c r="K155" s="2" t="s">
        <v>7</v>
      </c>
      <c r="L155" s="2" t="s">
        <v>9</v>
      </c>
      <c r="M155" s="2" t="s">
        <v>10</v>
      </c>
      <c r="N155" s="2" t="s">
        <v>32</v>
      </c>
      <c r="O155" s="2" t="s">
        <v>50</v>
      </c>
    </row>
    <row r="156" spans="1:15" x14ac:dyDescent="0.2">
      <c r="A156" s="2" t="s">
        <v>185</v>
      </c>
      <c r="B156" s="2">
        <v>2022</v>
      </c>
      <c r="C156" s="2">
        <v>2017</v>
      </c>
      <c r="D156" s="2" t="s">
        <v>265</v>
      </c>
      <c r="E156" s="2">
        <v>568</v>
      </c>
      <c r="F156" s="2">
        <v>1</v>
      </c>
      <c r="G156" s="2">
        <v>441</v>
      </c>
      <c r="H156" s="2">
        <v>126</v>
      </c>
      <c r="I156" s="2">
        <v>393</v>
      </c>
      <c r="J156" s="2" t="s">
        <v>18</v>
      </c>
      <c r="K156" s="2" t="s">
        <v>7</v>
      </c>
      <c r="L156" s="2" t="s">
        <v>9</v>
      </c>
      <c r="M156" s="2" t="s">
        <v>10</v>
      </c>
      <c r="N156" s="2" t="s">
        <v>263</v>
      </c>
      <c r="O156" s="2" t="s">
        <v>12</v>
      </c>
    </row>
    <row r="157" spans="1:15" x14ac:dyDescent="0.2">
      <c r="A157" s="2" t="s">
        <v>186</v>
      </c>
      <c r="B157" s="2">
        <v>2023</v>
      </c>
      <c r="C157" s="2">
        <v>2015</v>
      </c>
      <c r="D157" s="2" t="s">
        <v>264</v>
      </c>
      <c r="E157" s="2">
        <v>570</v>
      </c>
      <c r="F157" s="2">
        <v>5</v>
      </c>
      <c r="G157" s="2">
        <v>356</v>
      </c>
      <c r="H157" s="2">
        <v>209</v>
      </c>
      <c r="I157" s="2">
        <v>307</v>
      </c>
      <c r="J157" s="2" t="s">
        <v>6</v>
      </c>
      <c r="K157" s="2" t="s">
        <v>7</v>
      </c>
      <c r="L157" s="2" t="s">
        <v>9</v>
      </c>
      <c r="M157" s="2" t="s">
        <v>10</v>
      </c>
      <c r="N157" s="2" t="s">
        <v>11</v>
      </c>
      <c r="O157" s="2" t="s">
        <v>12</v>
      </c>
    </row>
    <row r="158" spans="1:15" x14ac:dyDescent="0.2">
      <c r="A158" s="2" t="s">
        <v>187</v>
      </c>
      <c r="B158" s="2">
        <v>2023</v>
      </c>
      <c r="C158" s="2">
        <v>2015</v>
      </c>
      <c r="D158" s="2" t="s">
        <v>264</v>
      </c>
      <c r="E158" s="2">
        <v>572</v>
      </c>
      <c r="F158" s="2">
        <v>8</v>
      </c>
      <c r="G158" s="2">
        <v>377</v>
      </c>
      <c r="H158" s="2">
        <v>187</v>
      </c>
      <c r="I158" s="2">
        <v>1</v>
      </c>
      <c r="J158" s="2" t="s">
        <v>46</v>
      </c>
      <c r="K158" s="2" t="s">
        <v>14</v>
      </c>
      <c r="L158" s="2" t="s">
        <v>9</v>
      </c>
      <c r="M158" s="2" t="s">
        <v>10</v>
      </c>
      <c r="N158" s="2" t="s">
        <v>11</v>
      </c>
      <c r="O158" s="2" t="s">
        <v>12</v>
      </c>
    </row>
    <row r="159" spans="1:15" x14ac:dyDescent="0.2">
      <c r="A159" s="2" t="s">
        <v>188</v>
      </c>
      <c r="B159" s="2">
        <v>2020</v>
      </c>
      <c r="C159" s="2">
        <v>2015</v>
      </c>
      <c r="D159" s="2" t="s">
        <v>264</v>
      </c>
      <c r="E159" s="2">
        <v>572</v>
      </c>
      <c r="F159" s="2">
        <v>4</v>
      </c>
      <c r="G159" s="2">
        <v>467</v>
      </c>
      <c r="H159" s="2">
        <v>75</v>
      </c>
      <c r="I159" s="2">
        <v>389</v>
      </c>
      <c r="J159" s="2" t="s">
        <v>18</v>
      </c>
      <c r="K159" s="2" t="s">
        <v>7</v>
      </c>
      <c r="L159" s="2" t="s">
        <v>15</v>
      </c>
      <c r="M159" s="2" t="s">
        <v>10</v>
      </c>
      <c r="N159" s="2" t="s">
        <v>11</v>
      </c>
      <c r="O159" s="2" t="s">
        <v>12</v>
      </c>
    </row>
    <row r="160" spans="1:15" x14ac:dyDescent="0.2">
      <c r="A160" s="2" t="s">
        <v>189</v>
      </c>
      <c r="B160" s="2">
        <v>2022</v>
      </c>
      <c r="C160" s="2">
        <v>2016</v>
      </c>
      <c r="D160" s="2" t="s">
        <v>265</v>
      </c>
      <c r="E160" s="2">
        <v>578</v>
      </c>
      <c r="F160" s="2">
        <v>8</v>
      </c>
      <c r="G160" s="2">
        <v>396</v>
      </c>
      <c r="H160" s="2">
        <v>174</v>
      </c>
      <c r="I160" s="2">
        <v>384</v>
      </c>
      <c r="J160" s="2" t="s">
        <v>18</v>
      </c>
      <c r="K160" s="2" t="s">
        <v>7</v>
      </c>
      <c r="L160" s="2" t="s">
        <v>9</v>
      </c>
      <c r="M160" s="2" t="s">
        <v>10</v>
      </c>
      <c r="N160" s="2" t="s">
        <v>11</v>
      </c>
      <c r="O160" s="2" t="s">
        <v>8</v>
      </c>
    </row>
    <row r="161" spans="1:15" x14ac:dyDescent="0.2">
      <c r="A161" s="2" t="s">
        <v>190</v>
      </c>
      <c r="B161" s="2">
        <v>2021</v>
      </c>
      <c r="C161" s="2">
        <v>2015</v>
      </c>
      <c r="D161" s="2" t="s">
        <v>264</v>
      </c>
      <c r="E161" s="2">
        <v>592</v>
      </c>
      <c r="F161" s="2">
        <v>6</v>
      </c>
      <c r="G161" s="2">
        <v>319</v>
      </c>
      <c r="H161" s="2">
        <v>267</v>
      </c>
      <c r="I161" s="2">
        <v>410</v>
      </c>
      <c r="J161" s="2" t="s">
        <v>56</v>
      </c>
      <c r="K161" s="2" t="s">
        <v>7</v>
      </c>
      <c r="L161" s="2" t="s">
        <v>15</v>
      </c>
      <c r="M161" s="2" t="s">
        <v>10</v>
      </c>
      <c r="N161" s="2" t="s">
        <v>263</v>
      </c>
      <c r="O161" s="2" t="s">
        <v>86</v>
      </c>
    </row>
    <row r="162" spans="1:15" x14ac:dyDescent="0.2">
      <c r="A162" s="2" t="s">
        <v>191</v>
      </c>
      <c r="B162" s="2">
        <v>2023</v>
      </c>
      <c r="C162" s="2">
        <v>2015</v>
      </c>
      <c r="D162" s="2" t="s">
        <v>264</v>
      </c>
      <c r="E162" s="2">
        <v>595</v>
      </c>
      <c r="F162" s="2">
        <v>9</v>
      </c>
      <c r="G162" s="2">
        <v>405</v>
      </c>
      <c r="H162" s="2">
        <v>181</v>
      </c>
      <c r="I162" s="2">
        <v>398</v>
      </c>
      <c r="J162" s="2" t="s">
        <v>18</v>
      </c>
      <c r="K162" s="2" t="s">
        <v>7</v>
      </c>
      <c r="L162" s="2" t="s">
        <v>192</v>
      </c>
      <c r="M162" s="2" t="s">
        <v>10</v>
      </c>
      <c r="N162" s="2" t="s">
        <v>11</v>
      </c>
      <c r="O162" s="2" t="s">
        <v>12</v>
      </c>
    </row>
    <row r="163" spans="1:15" x14ac:dyDescent="0.2">
      <c r="A163" s="2" t="s">
        <v>193</v>
      </c>
      <c r="B163" s="2">
        <v>2021</v>
      </c>
      <c r="C163" s="2">
        <v>2014</v>
      </c>
      <c r="D163" s="2" t="s">
        <v>264</v>
      </c>
      <c r="E163" s="2">
        <v>595</v>
      </c>
      <c r="F163" s="2">
        <v>22</v>
      </c>
      <c r="G163" s="2">
        <v>462</v>
      </c>
      <c r="H163" s="2">
        <v>111</v>
      </c>
      <c r="I163" s="2">
        <v>413</v>
      </c>
      <c r="J163" s="2" t="s">
        <v>18</v>
      </c>
      <c r="K163" s="2" t="s">
        <v>14</v>
      </c>
      <c r="L163" s="2" t="s">
        <v>9</v>
      </c>
      <c r="M163" s="2" t="s">
        <v>10</v>
      </c>
      <c r="N163" s="2" t="s">
        <v>11</v>
      </c>
      <c r="O163" s="2" t="s">
        <v>12</v>
      </c>
    </row>
    <row r="164" spans="1:15" x14ac:dyDescent="0.2">
      <c r="A164" s="2" t="s">
        <v>194</v>
      </c>
      <c r="B164" s="2">
        <v>2023</v>
      </c>
      <c r="C164" s="2">
        <v>2016</v>
      </c>
      <c r="D164" s="2" t="s">
        <v>265</v>
      </c>
      <c r="E164" s="2">
        <v>605</v>
      </c>
      <c r="F164" s="2">
        <v>0</v>
      </c>
      <c r="G164" s="2">
        <v>516</v>
      </c>
      <c r="H164" s="2">
        <v>89</v>
      </c>
      <c r="I164" s="2">
        <v>467</v>
      </c>
      <c r="J164" s="2" t="s">
        <v>18</v>
      </c>
      <c r="K164" s="2" t="s">
        <v>7</v>
      </c>
      <c r="L164" s="2" t="s">
        <v>9</v>
      </c>
      <c r="M164" s="2" t="s">
        <v>10</v>
      </c>
      <c r="N164" s="2" t="s">
        <v>263</v>
      </c>
      <c r="O164" s="2" t="s">
        <v>12</v>
      </c>
    </row>
    <row r="165" spans="1:15" x14ac:dyDescent="0.2">
      <c r="A165" s="2" t="s">
        <v>195</v>
      </c>
      <c r="B165" s="2">
        <v>2022</v>
      </c>
      <c r="C165" s="2">
        <v>2017</v>
      </c>
      <c r="D165" s="2" t="s">
        <v>265</v>
      </c>
      <c r="E165" s="2">
        <v>608</v>
      </c>
      <c r="F165" s="2">
        <v>21</v>
      </c>
      <c r="G165" s="2">
        <v>385</v>
      </c>
      <c r="H165" s="2">
        <v>26</v>
      </c>
      <c r="I165" s="2">
        <v>0</v>
      </c>
      <c r="J165" s="2" t="s">
        <v>44</v>
      </c>
      <c r="K165" s="2" t="s">
        <v>7</v>
      </c>
      <c r="L165" s="2" t="s">
        <v>15</v>
      </c>
      <c r="M165" s="2" t="s">
        <v>10</v>
      </c>
      <c r="N165" s="2" t="s">
        <v>263</v>
      </c>
      <c r="O165" s="2" t="s">
        <v>12</v>
      </c>
    </row>
    <row r="166" spans="1:15" x14ac:dyDescent="0.2">
      <c r="A166" s="2" t="s">
        <v>196</v>
      </c>
      <c r="B166" s="2">
        <v>2021</v>
      </c>
      <c r="C166" s="2">
        <v>2016</v>
      </c>
      <c r="D166" s="2" t="s">
        <v>265</v>
      </c>
      <c r="E166" s="2">
        <v>613</v>
      </c>
      <c r="F166" s="2">
        <v>2</v>
      </c>
      <c r="G166" s="2">
        <v>531</v>
      </c>
      <c r="H166" s="2">
        <v>80</v>
      </c>
      <c r="I166" s="2">
        <v>349</v>
      </c>
      <c r="J166" s="2" t="s">
        <v>18</v>
      </c>
      <c r="K166" s="2" t="s">
        <v>31</v>
      </c>
      <c r="L166" s="2" t="s">
        <v>9</v>
      </c>
      <c r="M166" s="2" t="s">
        <v>10</v>
      </c>
      <c r="N166" s="2" t="s">
        <v>11</v>
      </c>
      <c r="O166" s="2" t="s">
        <v>12</v>
      </c>
    </row>
    <row r="167" spans="1:15" x14ac:dyDescent="0.2">
      <c r="A167" s="2" t="s">
        <v>197</v>
      </c>
      <c r="B167" s="2">
        <v>2023</v>
      </c>
      <c r="C167" s="2">
        <v>2016</v>
      </c>
      <c r="D167" s="2" t="s">
        <v>265</v>
      </c>
      <c r="E167" s="2">
        <v>616</v>
      </c>
      <c r="F167" s="2">
        <v>14</v>
      </c>
      <c r="G167" s="2">
        <v>581</v>
      </c>
      <c r="H167" s="2">
        <v>21</v>
      </c>
      <c r="I167" s="2">
        <v>363</v>
      </c>
      <c r="J167" s="2" t="s">
        <v>18</v>
      </c>
      <c r="K167" s="2" t="s">
        <v>7</v>
      </c>
      <c r="L167" s="2" t="s">
        <v>9</v>
      </c>
      <c r="M167" s="2" t="s">
        <v>10</v>
      </c>
      <c r="N167" s="2" t="s">
        <v>263</v>
      </c>
      <c r="O167" s="2" t="s">
        <v>12</v>
      </c>
    </row>
    <row r="168" spans="1:15" x14ac:dyDescent="0.2">
      <c r="A168" s="2" t="s">
        <v>198</v>
      </c>
      <c r="B168" s="2">
        <v>2020</v>
      </c>
      <c r="C168" s="2">
        <v>2015</v>
      </c>
      <c r="D168" s="2" t="s">
        <v>264</v>
      </c>
      <c r="E168" s="2">
        <v>622</v>
      </c>
      <c r="F168" s="2">
        <v>17</v>
      </c>
      <c r="G168" s="2">
        <v>363</v>
      </c>
      <c r="H168" s="2">
        <v>242</v>
      </c>
      <c r="I168" s="2">
        <v>2</v>
      </c>
      <c r="J168" s="2" t="s">
        <v>46</v>
      </c>
      <c r="K168" s="2" t="s">
        <v>7</v>
      </c>
      <c r="L168" s="2" t="s">
        <v>15</v>
      </c>
      <c r="M168" s="2" t="s">
        <v>10</v>
      </c>
      <c r="N168" s="2" t="s">
        <v>263</v>
      </c>
      <c r="O168" s="2" t="s">
        <v>12</v>
      </c>
    </row>
    <row r="169" spans="1:15" x14ac:dyDescent="0.2">
      <c r="A169" s="2" t="s">
        <v>199</v>
      </c>
      <c r="B169" s="2">
        <v>2022</v>
      </c>
      <c r="C169" s="2">
        <v>2015</v>
      </c>
      <c r="D169" s="2" t="s">
        <v>264</v>
      </c>
      <c r="E169" s="2">
        <v>624</v>
      </c>
      <c r="F169" s="2">
        <v>36</v>
      </c>
      <c r="G169" s="2">
        <v>489</v>
      </c>
      <c r="H169" s="2">
        <v>99</v>
      </c>
      <c r="I169" s="2">
        <v>4</v>
      </c>
      <c r="J169" s="2" t="s">
        <v>46</v>
      </c>
      <c r="K169" s="2" t="s">
        <v>14</v>
      </c>
      <c r="L169" s="2" t="s">
        <v>9</v>
      </c>
      <c r="M169" s="2" t="s">
        <v>10</v>
      </c>
      <c r="N169" s="2" t="s">
        <v>263</v>
      </c>
      <c r="O169" s="2" t="s">
        <v>86</v>
      </c>
    </row>
    <row r="170" spans="1:15" x14ac:dyDescent="0.2">
      <c r="A170" s="2" t="s">
        <v>200</v>
      </c>
      <c r="B170" s="2">
        <v>2021</v>
      </c>
      <c r="C170" s="2">
        <v>2018</v>
      </c>
      <c r="D170" s="2" t="s">
        <v>265</v>
      </c>
      <c r="E170" s="2">
        <v>627</v>
      </c>
      <c r="F170" s="2">
        <v>2</v>
      </c>
      <c r="G170" s="2">
        <v>499</v>
      </c>
      <c r="H170" s="2">
        <v>126</v>
      </c>
      <c r="I170" s="2">
        <v>383</v>
      </c>
      <c r="J170" s="2" t="s">
        <v>18</v>
      </c>
      <c r="K170" s="2" t="s">
        <v>14</v>
      </c>
      <c r="L170" s="2" t="s">
        <v>9</v>
      </c>
      <c r="M170" s="2" t="s">
        <v>10</v>
      </c>
      <c r="N170" s="2" t="s">
        <v>263</v>
      </c>
      <c r="O170" s="2" t="s">
        <v>12</v>
      </c>
    </row>
    <row r="171" spans="1:15" x14ac:dyDescent="0.2">
      <c r="A171" s="2" t="s">
        <v>201</v>
      </c>
      <c r="B171" s="2">
        <v>2023</v>
      </c>
      <c r="C171" s="2">
        <v>2015</v>
      </c>
      <c r="D171" s="2" t="s">
        <v>264</v>
      </c>
      <c r="E171" s="2">
        <v>628</v>
      </c>
      <c r="F171" s="2">
        <v>6</v>
      </c>
      <c r="G171" s="2">
        <v>351</v>
      </c>
      <c r="H171" s="2">
        <v>271</v>
      </c>
      <c r="I171" s="2">
        <v>544</v>
      </c>
      <c r="J171" s="2" t="s">
        <v>56</v>
      </c>
      <c r="K171" s="2" t="s">
        <v>7</v>
      </c>
      <c r="L171" s="2" t="s">
        <v>15</v>
      </c>
      <c r="M171" s="2" t="s">
        <v>10</v>
      </c>
      <c r="N171" s="2" t="s">
        <v>263</v>
      </c>
      <c r="O171" s="2" t="s">
        <v>12</v>
      </c>
    </row>
    <row r="172" spans="1:15" x14ac:dyDescent="0.2">
      <c r="A172" s="2" t="s">
        <v>202</v>
      </c>
      <c r="B172" s="2">
        <v>2017</v>
      </c>
      <c r="C172" s="2">
        <v>2017</v>
      </c>
      <c r="D172" s="2" t="s">
        <v>265</v>
      </c>
      <c r="E172" s="2">
        <v>642</v>
      </c>
      <c r="F172" s="2">
        <v>7</v>
      </c>
      <c r="G172" s="2">
        <v>615</v>
      </c>
      <c r="H172" s="2">
        <v>22</v>
      </c>
      <c r="I172" s="2">
        <v>384</v>
      </c>
      <c r="J172" s="2" t="s">
        <v>18</v>
      </c>
      <c r="K172" s="2" t="s">
        <v>14</v>
      </c>
      <c r="L172" s="2" t="s">
        <v>15</v>
      </c>
      <c r="M172" s="2" t="s">
        <v>10</v>
      </c>
      <c r="N172" s="2" t="s">
        <v>8</v>
      </c>
      <c r="O172" s="2" t="s">
        <v>8</v>
      </c>
    </row>
    <row r="173" spans="1:15" x14ac:dyDescent="0.2">
      <c r="A173" s="2" t="s">
        <v>203</v>
      </c>
      <c r="B173" s="2">
        <v>2021</v>
      </c>
      <c r="C173" s="2">
        <v>2015</v>
      </c>
      <c r="D173" s="2" t="s">
        <v>264</v>
      </c>
      <c r="E173" s="2">
        <v>645</v>
      </c>
      <c r="F173" s="2">
        <v>5</v>
      </c>
      <c r="G173" s="2">
        <v>520</v>
      </c>
      <c r="H173" s="2">
        <v>120</v>
      </c>
      <c r="I173" s="2">
        <v>429</v>
      </c>
      <c r="J173" s="2" t="s">
        <v>56</v>
      </c>
      <c r="K173" s="2" t="s">
        <v>14</v>
      </c>
      <c r="L173" s="2" t="s">
        <v>9</v>
      </c>
      <c r="M173" s="2" t="s">
        <v>10</v>
      </c>
      <c r="N173" s="2" t="s">
        <v>8</v>
      </c>
      <c r="O173" s="2" t="s">
        <v>8</v>
      </c>
    </row>
    <row r="174" spans="1:15" x14ac:dyDescent="0.2">
      <c r="A174" s="2" t="s">
        <v>204</v>
      </c>
      <c r="B174" s="2">
        <v>2023</v>
      </c>
      <c r="C174" s="2">
        <v>2017</v>
      </c>
      <c r="D174" s="2" t="s">
        <v>265</v>
      </c>
      <c r="E174" s="2">
        <v>651</v>
      </c>
      <c r="F174" s="2">
        <v>31</v>
      </c>
      <c r="G174" s="2">
        <v>374</v>
      </c>
      <c r="H174" s="2">
        <v>246</v>
      </c>
      <c r="I174" s="2">
        <v>1</v>
      </c>
      <c r="J174" s="2" t="s">
        <v>46</v>
      </c>
      <c r="K174" s="2" t="s">
        <v>7</v>
      </c>
      <c r="L174" s="2" t="s">
        <v>9</v>
      </c>
      <c r="M174" s="2" t="s">
        <v>10</v>
      </c>
      <c r="N174" s="2" t="s">
        <v>11</v>
      </c>
      <c r="O174" s="2" t="s">
        <v>12</v>
      </c>
    </row>
    <row r="175" spans="1:15" x14ac:dyDescent="0.2">
      <c r="A175" s="2" t="s">
        <v>205</v>
      </c>
      <c r="B175" s="2">
        <v>2021</v>
      </c>
      <c r="C175" s="2">
        <v>2017</v>
      </c>
      <c r="D175" s="2" t="s">
        <v>265</v>
      </c>
      <c r="E175" s="2">
        <v>651</v>
      </c>
      <c r="F175" s="2">
        <v>2</v>
      </c>
      <c r="G175" s="2">
        <v>343</v>
      </c>
      <c r="H175" s="2">
        <v>306</v>
      </c>
      <c r="I175" s="2">
        <v>457</v>
      </c>
      <c r="J175" s="2" t="s">
        <v>18</v>
      </c>
      <c r="K175" s="2" t="s">
        <v>14</v>
      </c>
      <c r="L175" s="2" t="s">
        <v>15</v>
      </c>
      <c r="M175" s="2" t="s">
        <v>10</v>
      </c>
      <c r="N175" s="2" t="s">
        <v>263</v>
      </c>
      <c r="O175" s="2" t="s">
        <v>12</v>
      </c>
    </row>
    <row r="176" spans="1:15" x14ac:dyDescent="0.2">
      <c r="A176" s="2" t="s">
        <v>206</v>
      </c>
      <c r="B176" s="2">
        <v>2018</v>
      </c>
      <c r="C176" s="2">
        <v>2015</v>
      </c>
      <c r="D176" s="2" t="s">
        <v>264</v>
      </c>
      <c r="E176" s="2">
        <v>663</v>
      </c>
      <c r="F176" s="2">
        <v>2</v>
      </c>
      <c r="G176" s="2">
        <v>506</v>
      </c>
      <c r="H176" s="2">
        <v>155</v>
      </c>
      <c r="I176" s="2">
        <v>417</v>
      </c>
      <c r="J176" s="2" t="s">
        <v>18</v>
      </c>
      <c r="K176" s="2" t="s">
        <v>14</v>
      </c>
      <c r="L176" s="2" t="s">
        <v>15</v>
      </c>
      <c r="M176" s="2" t="s">
        <v>10</v>
      </c>
      <c r="N176" s="2" t="s">
        <v>263</v>
      </c>
      <c r="O176" s="2" t="s">
        <v>12</v>
      </c>
    </row>
    <row r="177" spans="1:15" x14ac:dyDescent="0.2">
      <c r="A177" s="2" t="s">
        <v>207</v>
      </c>
      <c r="B177" s="2">
        <v>2023</v>
      </c>
      <c r="C177" s="2">
        <v>2013</v>
      </c>
      <c r="D177" s="2" t="s">
        <v>264</v>
      </c>
      <c r="E177" s="2">
        <v>668</v>
      </c>
      <c r="F177" s="2" t="s">
        <v>8</v>
      </c>
      <c r="G177" s="2" t="s">
        <v>8</v>
      </c>
      <c r="H177" s="2" t="s">
        <v>8</v>
      </c>
      <c r="I177" s="2">
        <v>0</v>
      </c>
      <c r="J177" s="2" t="s">
        <v>46</v>
      </c>
      <c r="K177" s="2" t="s">
        <v>14</v>
      </c>
      <c r="L177" s="2" t="s">
        <v>9</v>
      </c>
      <c r="M177" s="2" t="s">
        <v>10</v>
      </c>
      <c r="N177" s="2" t="s">
        <v>8</v>
      </c>
      <c r="O177" s="2" t="s">
        <v>8</v>
      </c>
    </row>
    <row r="178" spans="1:15" x14ac:dyDescent="0.2">
      <c r="A178" s="2" t="s">
        <v>208</v>
      </c>
      <c r="B178" s="2">
        <v>2019</v>
      </c>
      <c r="C178" s="2">
        <v>2017</v>
      </c>
      <c r="D178" s="2" t="s">
        <v>265</v>
      </c>
      <c r="E178" s="2">
        <v>671</v>
      </c>
      <c r="F178" s="2" t="s">
        <v>8</v>
      </c>
      <c r="G178" s="2">
        <v>458</v>
      </c>
      <c r="H178" s="2">
        <v>213</v>
      </c>
      <c r="I178" s="2">
        <v>424</v>
      </c>
      <c r="J178" s="2" t="s">
        <v>18</v>
      </c>
      <c r="K178" s="2" t="s">
        <v>14</v>
      </c>
      <c r="L178" s="2" t="s">
        <v>15</v>
      </c>
      <c r="M178" s="2" t="s">
        <v>10</v>
      </c>
      <c r="N178" s="2" t="s">
        <v>263</v>
      </c>
      <c r="O178" s="2" t="s">
        <v>12</v>
      </c>
    </row>
    <row r="179" spans="1:15" x14ac:dyDescent="0.2">
      <c r="A179" s="2" t="s">
        <v>209</v>
      </c>
      <c r="B179" s="2">
        <v>2023</v>
      </c>
      <c r="C179" s="2">
        <v>2014</v>
      </c>
      <c r="D179" s="2" t="s">
        <v>264</v>
      </c>
      <c r="E179" s="2">
        <v>672</v>
      </c>
      <c r="F179" s="2">
        <v>19</v>
      </c>
      <c r="G179" s="2">
        <v>388</v>
      </c>
      <c r="H179" s="2">
        <v>265</v>
      </c>
      <c r="I179" s="2">
        <v>0</v>
      </c>
      <c r="J179" s="2" t="s">
        <v>46</v>
      </c>
      <c r="K179" s="2" t="s">
        <v>14</v>
      </c>
      <c r="L179" s="2" t="s">
        <v>15</v>
      </c>
      <c r="M179" s="2" t="s">
        <v>10</v>
      </c>
      <c r="N179" s="2" t="s">
        <v>42</v>
      </c>
      <c r="O179" s="2" t="s">
        <v>8</v>
      </c>
    </row>
    <row r="180" spans="1:15" x14ac:dyDescent="0.2">
      <c r="A180" s="2" t="s">
        <v>210</v>
      </c>
      <c r="B180" s="2">
        <v>2021</v>
      </c>
      <c r="C180" s="2">
        <v>2014</v>
      </c>
      <c r="D180" s="2" t="s">
        <v>264</v>
      </c>
      <c r="E180" s="2">
        <v>681</v>
      </c>
      <c r="F180" s="2">
        <v>0</v>
      </c>
      <c r="G180" s="2">
        <v>0</v>
      </c>
      <c r="H180" s="2">
        <v>681</v>
      </c>
      <c r="I180" s="2">
        <v>469</v>
      </c>
      <c r="J180" s="2" t="s">
        <v>56</v>
      </c>
      <c r="K180" s="2" t="s">
        <v>31</v>
      </c>
      <c r="L180" s="2" t="s">
        <v>9</v>
      </c>
      <c r="M180" s="2" t="s">
        <v>10</v>
      </c>
      <c r="N180" s="2" t="s">
        <v>11</v>
      </c>
      <c r="O180" s="2" t="s">
        <v>12</v>
      </c>
    </row>
    <row r="181" spans="1:15" x14ac:dyDescent="0.2">
      <c r="A181" s="2" t="s">
        <v>211</v>
      </c>
      <c r="B181" s="2">
        <v>2022</v>
      </c>
      <c r="C181" s="2">
        <v>2015</v>
      </c>
      <c r="D181" s="2" t="s">
        <v>264</v>
      </c>
      <c r="E181" s="2">
        <v>691</v>
      </c>
      <c r="F181" s="2">
        <v>9</v>
      </c>
      <c r="G181" s="2">
        <v>572</v>
      </c>
      <c r="H181" s="2">
        <v>110</v>
      </c>
      <c r="I181" s="2">
        <v>425</v>
      </c>
      <c r="J181" s="2" t="s">
        <v>35</v>
      </c>
      <c r="K181" s="2" t="s">
        <v>14</v>
      </c>
      <c r="L181" s="2" t="s">
        <v>9</v>
      </c>
      <c r="M181" s="2" t="s">
        <v>10</v>
      </c>
      <c r="N181" s="2" t="s">
        <v>11</v>
      </c>
      <c r="O181" s="2" t="s">
        <v>12</v>
      </c>
    </row>
    <row r="182" spans="1:15" x14ac:dyDescent="0.2">
      <c r="A182" s="2" t="s">
        <v>212</v>
      </c>
      <c r="B182" s="2">
        <v>2023</v>
      </c>
      <c r="C182" s="2">
        <v>2018</v>
      </c>
      <c r="D182" s="2" t="s">
        <v>265</v>
      </c>
      <c r="E182" s="2">
        <v>695</v>
      </c>
      <c r="F182" s="2">
        <v>10</v>
      </c>
      <c r="G182" s="2">
        <v>175</v>
      </c>
      <c r="H182" s="2">
        <v>510</v>
      </c>
      <c r="I182" s="2">
        <v>579</v>
      </c>
      <c r="J182" s="2" t="s">
        <v>56</v>
      </c>
      <c r="K182" s="2" t="s">
        <v>7</v>
      </c>
      <c r="L182" s="2" t="s">
        <v>9</v>
      </c>
      <c r="M182" s="2" t="s">
        <v>10</v>
      </c>
      <c r="N182" s="2" t="s">
        <v>263</v>
      </c>
      <c r="O182" s="2" t="s">
        <v>12</v>
      </c>
    </row>
    <row r="183" spans="1:15" x14ac:dyDescent="0.2">
      <c r="A183" s="2" t="s">
        <v>213</v>
      </c>
      <c r="B183" s="2">
        <v>2023</v>
      </c>
      <c r="C183" s="2">
        <v>2016</v>
      </c>
      <c r="D183" s="2" t="s">
        <v>265</v>
      </c>
      <c r="E183" s="2">
        <v>700</v>
      </c>
      <c r="F183" s="2">
        <v>2</v>
      </c>
      <c r="G183" s="2">
        <v>470</v>
      </c>
      <c r="H183" s="2">
        <v>228</v>
      </c>
      <c r="I183" s="2">
        <v>541</v>
      </c>
      <c r="J183" s="2" t="s">
        <v>30</v>
      </c>
      <c r="K183" s="2" t="s">
        <v>7</v>
      </c>
      <c r="L183" s="2" t="s">
        <v>15</v>
      </c>
      <c r="M183" s="2" t="s">
        <v>10</v>
      </c>
      <c r="N183" s="2" t="s">
        <v>11</v>
      </c>
      <c r="O183" s="2" t="s">
        <v>12</v>
      </c>
    </row>
    <row r="184" spans="1:15" x14ac:dyDescent="0.2">
      <c r="A184" s="2" t="s">
        <v>214</v>
      </c>
      <c r="B184" s="2">
        <v>2022</v>
      </c>
      <c r="C184" s="2">
        <v>2016</v>
      </c>
      <c r="D184" s="2" t="s">
        <v>265</v>
      </c>
      <c r="E184" s="2">
        <v>702</v>
      </c>
      <c r="F184" s="2">
        <v>3</v>
      </c>
      <c r="G184" s="2">
        <v>579</v>
      </c>
      <c r="H184" s="2">
        <v>120</v>
      </c>
      <c r="I184" s="2">
        <v>329</v>
      </c>
      <c r="J184" s="2" t="s">
        <v>56</v>
      </c>
      <c r="K184" s="2" t="s">
        <v>14</v>
      </c>
      <c r="L184" s="2" t="s">
        <v>9</v>
      </c>
      <c r="M184" s="2" t="s">
        <v>10</v>
      </c>
      <c r="N184" s="2" t="s">
        <v>263</v>
      </c>
      <c r="O184" s="2" t="s">
        <v>12</v>
      </c>
    </row>
    <row r="185" spans="1:15" x14ac:dyDescent="0.2">
      <c r="A185" s="2" t="s">
        <v>215</v>
      </c>
      <c r="B185" s="2">
        <v>2020</v>
      </c>
      <c r="C185" s="2">
        <v>2014</v>
      </c>
      <c r="D185" s="2" t="s">
        <v>264</v>
      </c>
      <c r="E185" s="2">
        <v>702</v>
      </c>
      <c r="F185" s="2" t="s">
        <v>8</v>
      </c>
      <c r="G185" s="2" t="s">
        <v>8</v>
      </c>
      <c r="H185" s="2" t="s">
        <v>8</v>
      </c>
      <c r="I185" s="2">
        <v>0</v>
      </c>
      <c r="J185" s="2" t="s">
        <v>46</v>
      </c>
      <c r="K185" s="2" t="s">
        <v>14</v>
      </c>
      <c r="L185" s="2" t="s">
        <v>15</v>
      </c>
      <c r="M185" s="2" t="s">
        <v>10</v>
      </c>
      <c r="N185" s="2" t="s">
        <v>42</v>
      </c>
      <c r="O185" s="2" t="s">
        <v>8</v>
      </c>
    </row>
    <row r="186" spans="1:15" x14ac:dyDescent="0.2">
      <c r="A186" s="2" t="s">
        <v>216</v>
      </c>
      <c r="B186" s="2">
        <v>2022</v>
      </c>
      <c r="C186" s="2">
        <v>2015</v>
      </c>
      <c r="D186" s="2" t="s">
        <v>264</v>
      </c>
      <c r="E186" s="2">
        <v>706</v>
      </c>
      <c r="F186" s="2">
        <v>20</v>
      </c>
      <c r="G186" s="2">
        <v>557</v>
      </c>
      <c r="H186" s="2">
        <v>129</v>
      </c>
      <c r="I186" s="2">
        <v>377</v>
      </c>
      <c r="J186" s="2" t="s">
        <v>6</v>
      </c>
      <c r="K186" s="2" t="s">
        <v>14</v>
      </c>
      <c r="L186" s="2" t="s">
        <v>15</v>
      </c>
      <c r="M186" s="2" t="s">
        <v>10</v>
      </c>
      <c r="N186" s="2" t="s">
        <v>11</v>
      </c>
      <c r="O186" s="2" t="s">
        <v>12</v>
      </c>
    </row>
    <row r="187" spans="1:15" x14ac:dyDescent="0.2">
      <c r="A187" s="2" t="s">
        <v>217</v>
      </c>
      <c r="B187" s="2">
        <v>2019</v>
      </c>
      <c r="C187" s="2">
        <v>2016</v>
      </c>
      <c r="D187" s="2" t="s">
        <v>265</v>
      </c>
      <c r="E187" s="2">
        <v>706</v>
      </c>
      <c r="F187" s="2">
        <v>0</v>
      </c>
      <c r="G187" s="2">
        <v>626</v>
      </c>
      <c r="H187" s="2">
        <v>80</v>
      </c>
      <c r="I187" s="2">
        <v>423</v>
      </c>
      <c r="J187" s="2" t="s">
        <v>21</v>
      </c>
      <c r="K187" s="2" t="s">
        <v>14</v>
      </c>
      <c r="L187" s="2" t="s">
        <v>9</v>
      </c>
      <c r="M187" s="2" t="s">
        <v>10</v>
      </c>
      <c r="N187" s="2" t="s">
        <v>263</v>
      </c>
      <c r="O187" s="2" t="s">
        <v>86</v>
      </c>
    </row>
    <row r="188" spans="1:15" x14ac:dyDescent="0.2">
      <c r="A188" s="2" t="s">
        <v>218</v>
      </c>
      <c r="B188" s="2">
        <v>2023</v>
      </c>
      <c r="C188" s="2">
        <v>2014</v>
      </c>
      <c r="D188" s="2" t="s">
        <v>264</v>
      </c>
      <c r="E188" s="2">
        <v>714</v>
      </c>
      <c r="F188" s="2">
        <v>5</v>
      </c>
      <c r="G188" s="2">
        <v>477</v>
      </c>
      <c r="H188" s="2">
        <v>232</v>
      </c>
      <c r="I188" s="2">
        <v>515</v>
      </c>
      <c r="J188" s="2" t="s">
        <v>56</v>
      </c>
      <c r="K188" s="2" t="s">
        <v>14</v>
      </c>
      <c r="L188" s="2" t="s">
        <v>9</v>
      </c>
      <c r="M188" s="2" t="s">
        <v>10</v>
      </c>
      <c r="N188" s="2" t="s">
        <v>263</v>
      </c>
      <c r="O188" s="2" t="s">
        <v>12</v>
      </c>
    </row>
    <row r="189" spans="1:15" x14ac:dyDescent="0.2">
      <c r="A189" s="2" t="s">
        <v>219</v>
      </c>
      <c r="B189" s="2">
        <v>2017</v>
      </c>
      <c r="C189" s="2">
        <v>2015</v>
      </c>
      <c r="D189" s="2" t="s">
        <v>264</v>
      </c>
      <c r="E189" s="2">
        <v>719</v>
      </c>
      <c r="F189" s="2">
        <v>4</v>
      </c>
      <c r="G189" s="2">
        <v>638</v>
      </c>
      <c r="H189" s="2">
        <v>77</v>
      </c>
      <c r="I189" s="2">
        <v>467</v>
      </c>
      <c r="J189" s="2" t="s">
        <v>18</v>
      </c>
      <c r="K189" s="2" t="s">
        <v>14</v>
      </c>
      <c r="L189" s="2" t="s">
        <v>9</v>
      </c>
      <c r="M189" s="2" t="s">
        <v>10</v>
      </c>
      <c r="N189" s="2" t="s">
        <v>42</v>
      </c>
      <c r="O189" s="2" t="s">
        <v>8</v>
      </c>
    </row>
    <row r="190" spans="1:15" x14ac:dyDescent="0.2">
      <c r="A190" s="2" t="s">
        <v>220</v>
      </c>
      <c r="B190" s="2">
        <v>2021</v>
      </c>
      <c r="C190" s="2">
        <v>2015</v>
      </c>
      <c r="D190" s="2" t="s">
        <v>264</v>
      </c>
      <c r="E190" s="2">
        <v>723</v>
      </c>
      <c r="F190" s="2">
        <v>26</v>
      </c>
      <c r="G190" s="2">
        <v>650</v>
      </c>
      <c r="H190" s="2">
        <v>47</v>
      </c>
      <c r="I190" s="2">
        <v>415</v>
      </c>
      <c r="J190" s="2" t="s">
        <v>18</v>
      </c>
      <c r="K190" s="2" t="s">
        <v>7</v>
      </c>
      <c r="L190" s="2" t="s">
        <v>9</v>
      </c>
      <c r="M190" s="2" t="s">
        <v>10</v>
      </c>
      <c r="N190" s="2" t="s">
        <v>42</v>
      </c>
      <c r="O190" s="2" t="s">
        <v>8</v>
      </c>
    </row>
    <row r="191" spans="1:15" x14ac:dyDescent="0.2">
      <c r="A191" s="2" t="s">
        <v>221</v>
      </c>
      <c r="B191" s="2">
        <v>2023</v>
      </c>
      <c r="C191" s="2">
        <v>2018</v>
      </c>
      <c r="D191" s="2" t="s">
        <v>265</v>
      </c>
      <c r="E191" s="2">
        <v>726</v>
      </c>
      <c r="F191" s="2">
        <v>5</v>
      </c>
      <c r="G191" s="2">
        <v>619</v>
      </c>
      <c r="H191" s="2">
        <v>102</v>
      </c>
      <c r="I191" s="2">
        <v>0</v>
      </c>
      <c r="J191" s="2" t="s">
        <v>46</v>
      </c>
      <c r="K191" s="2" t="s">
        <v>14</v>
      </c>
      <c r="L191" s="2" t="s">
        <v>15</v>
      </c>
      <c r="M191" s="2" t="s">
        <v>10</v>
      </c>
      <c r="N191" s="2" t="s">
        <v>42</v>
      </c>
      <c r="O191" s="2" t="s">
        <v>8</v>
      </c>
    </row>
    <row r="192" spans="1:15" x14ac:dyDescent="0.2">
      <c r="A192" s="2" t="s">
        <v>222</v>
      </c>
      <c r="B192" s="2">
        <v>2023</v>
      </c>
      <c r="C192" s="2">
        <v>2018</v>
      </c>
      <c r="D192" s="2" t="s">
        <v>265</v>
      </c>
      <c r="E192" s="2">
        <v>729</v>
      </c>
      <c r="F192" s="2">
        <v>14</v>
      </c>
      <c r="G192" s="2">
        <v>429</v>
      </c>
      <c r="H192" s="2">
        <v>286</v>
      </c>
      <c r="I192" s="2">
        <v>375</v>
      </c>
      <c r="J192" s="2" t="s">
        <v>6</v>
      </c>
      <c r="K192" s="2" t="s">
        <v>14</v>
      </c>
      <c r="L192" s="2" t="s">
        <v>9</v>
      </c>
      <c r="M192" s="2" t="s">
        <v>10</v>
      </c>
      <c r="N192" s="2" t="s">
        <v>11</v>
      </c>
      <c r="O192" s="2" t="s">
        <v>12</v>
      </c>
    </row>
    <row r="193" spans="1:15" x14ac:dyDescent="0.2">
      <c r="A193" s="2" t="s">
        <v>223</v>
      </c>
      <c r="B193" s="2">
        <v>2022</v>
      </c>
      <c r="C193" s="2">
        <v>2016</v>
      </c>
      <c r="D193" s="2" t="s">
        <v>265</v>
      </c>
      <c r="E193" s="2">
        <v>731</v>
      </c>
      <c r="F193" s="2">
        <v>1</v>
      </c>
      <c r="G193" s="2">
        <v>636</v>
      </c>
      <c r="H193" s="2">
        <v>94</v>
      </c>
      <c r="I193" s="2">
        <v>483</v>
      </c>
      <c r="J193" s="2" t="s">
        <v>18</v>
      </c>
      <c r="K193" s="2" t="s">
        <v>14</v>
      </c>
      <c r="L193" s="2" t="s">
        <v>9</v>
      </c>
      <c r="M193" s="2" t="s">
        <v>10</v>
      </c>
      <c r="N193" s="2" t="s">
        <v>11</v>
      </c>
      <c r="O193" s="2" t="s">
        <v>12</v>
      </c>
    </row>
    <row r="194" spans="1:15" x14ac:dyDescent="0.2">
      <c r="A194" s="2" t="s">
        <v>224</v>
      </c>
      <c r="B194" s="2">
        <v>2020</v>
      </c>
      <c r="C194" s="2">
        <v>2015</v>
      </c>
      <c r="D194" s="2" t="s">
        <v>264</v>
      </c>
      <c r="E194" s="2">
        <v>736</v>
      </c>
      <c r="F194" s="2">
        <v>4</v>
      </c>
      <c r="G194" s="2">
        <v>591</v>
      </c>
      <c r="H194" s="2">
        <v>141</v>
      </c>
      <c r="I194" s="2">
        <v>618</v>
      </c>
      <c r="J194" s="2" t="s">
        <v>35</v>
      </c>
      <c r="K194" s="2" t="s">
        <v>7</v>
      </c>
      <c r="L194" s="2" t="s">
        <v>9</v>
      </c>
      <c r="M194" s="2" t="s">
        <v>10</v>
      </c>
      <c r="N194" s="2" t="s">
        <v>11</v>
      </c>
      <c r="O194" s="2" t="s">
        <v>12</v>
      </c>
    </row>
    <row r="195" spans="1:15" x14ac:dyDescent="0.2">
      <c r="A195" s="2" t="s">
        <v>225</v>
      </c>
      <c r="B195" s="2">
        <v>2021</v>
      </c>
      <c r="C195" s="2">
        <v>2017</v>
      </c>
      <c r="D195" s="2" t="s">
        <v>265</v>
      </c>
      <c r="E195" s="2">
        <v>749</v>
      </c>
      <c r="F195" s="2">
        <v>7</v>
      </c>
      <c r="G195" s="2">
        <v>278</v>
      </c>
      <c r="H195" s="2">
        <f>'[1]Final Trial Data'!$G217-'[1]Final Trial Data'!$I217-'[1]Final Trial Data'!$H217</f>
        <v>312</v>
      </c>
      <c r="I195" s="2">
        <v>625</v>
      </c>
      <c r="J195" s="2" t="s">
        <v>56</v>
      </c>
      <c r="K195" s="2" t="s">
        <v>7</v>
      </c>
      <c r="L195" s="2" t="s">
        <v>9</v>
      </c>
      <c r="M195" s="2" t="s">
        <v>10</v>
      </c>
      <c r="N195" s="2" t="s">
        <v>263</v>
      </c>
      <c r="O195" s="2" t="s">
        <v>39</v>
      </c>
    </row>
    <row r="196" spans="1:15" x14ac:dyDescent="0.2">
      <c r="A196" s="2" t="s">
        <v>226</v>
      </c>
      <c r="B196" s="2">
        <v>2023</v>
      </c>
      <c r="C196" s="2">
        <v>2015</v>
      </c>
      <c r="D196" s="2" t="s">
        <v>264</v>
      </c>
      <c r="E196" s="2">
        <v>763</v>
      </c>
      <c r="F196" s="2">
        <v>13</v>
      </c>
      <c r="G196" s="2">
        <v>485</v>
      </c>
      <c r="H196" s="2">
        <v>265</v>
      </c>
      <c r="I196" s="2">
        <v>554</v>
      </c>
      <c r="J196" s="2" t="s">
        <v>56</v>
      </c>
      <c r="K196" s="2" t="s">
        <v>7</v>
      </c>
      <c r="L196" s="2" t="s">
        <v>15</v>
      </c>
      <c r="M196" s="2" t="s">
        <v>10</v>
      </c>
      <c r="N196" s="2" t="s">
        <v>263</v>
      </c>
      <c r="O196" s="2" t="s">
        <v>39</v>
      </c>
    </row>
    <row r="197" spans="1:15" x14ac:dyDescent="0.2">
      <c r="A197" s="2" t="s">
        <v>227</v>
      </c>
      <c r="B197" s="2">
        <v>2017</v>
      </c>
      <c r="C197" s="2">
        <v>2014</v>
      </c>
      <c r="D197" s="2" t="s">
        <v>264</v>
      </c>
      <c r="E197" s="2">
        <v>768</v>
      </c>
      <c r="F197" s="2" t="s">
        <v>8</v>
      </c>
      <c r="G197" s="2" t="s">
        <v>8</v>
      </c>
      <c r="H197" s="2" t="s">
        <v>8</v>
      </c>
      <c r="I197" s="2">
        <v>454</v>
      </c>
      <c r="J197" s="2" t="s">
        <v>56</v>
      </c>
      <c r="K197" s="2" t="s">
        <v>14</v>
      </c>
      <c r="L197" s="2" t="s">
        <v>15</v>
      </c>
      <c r="M197" s="2" t="s">
        <v>10</v>
      </c>
      <c r="N197" s="2" t="s">
        <v>8</v>
      </c>
      <c r="O197" s="2" t="s">
        <v>8</v>
      </c>
    </row>
    <row r="198" spans="1:15" x14ac:dyDescent="0.2">
      <c r="A198" s="2" t="s">
        <v>228</v>
      </c>
      <c r="B198" s="2">
        <v>2023</v>
      </c>
      <c r="C198" s="2">
        <v>2019</v>
      </c>
      <c r="D198" s="2" t="s">
        <v>266</v>
      </c>
      <c r="E198" s="2">
        <v>770</v>
      </c>
      <c r="F198" s="2">
        <v>22</v>
      </c>
      <c r="G198" s="2">
        <v>255</v>
      </c>
      <c r="H198" s="2">
        <v>493</v>
      </c>
      <c r="I198" s="2">
        <v>0</v>
      </c>
      <c r="J198" s="2" t="s">
        <v>44</v>
      </c>
      <c r="K198" s="2" t="s">
        <v>7</v>
      </c>
      <c r="L198" s="2" t="s">
        <v>9</v>
      </c>
      <c r="M198" s="2" t="s">
        <v>10</v>
      </c>
      <c r="N198" s="2" t="s">
        <v>11</v>
      </c>
      <c r="O198" s="2" t="s">
        <v>12</v>
      </c>
    </row>
    <row r="199" spans="1:15" x14ac:dyDescent="0.2">
      <c r="A199" s="2" t="s">
        <v>229</v>
      </c>
      <c r="B199" s="2">
        <v>2021</v>
      </c>
      <c r="C199" s="2">
        <v>2017</v>
      </c>
      <c r="D199" s="2" t="s">
        <v>265</v>
      </c>
      <c r="E199" s="2">
        <v>771</v>
      </c>
      <c r="F199" s="2">
        <v>15</v>
      </c>
      <c r="G199" s="2">
        <v>577</v>
      </c>
      <c r="H199" s="2">
        <v>179</v>
      </c>
      <c r="I199" s="2">
        <v>771</v>
      </c>
      <c r="J199" s="2" t="s">
        <v>30</v>
      </c>
      <c r="K199" s="2" t="s">
        <v>7</v>
      </c>
      <c r="L199" s="2" t="s">
        <v>9</v>
      </c>
      <c r="M199" s="2" t="s">
        <v>10</v>
      </c>
      <c r="N199" s="2" t="s">
        <v>11</v>
      </c>
      <c r="O199" s="2" t="s">
        <v>12</v>
      </c>
    </row>
    <row r="200" spans="1:15" x14ac:dyDescent="0.2">
      <c r="A200" s="2" t="s">
        <v>230</v>
      </c>
      <c r="B200" s="2">
        <v>2021</v>
      </c>
      <c r="C200" s="2">
        <v>2015</v>
      </c>
      <c r="D200" s="2" t="s">
        <v>264</v>
      </c>
      <c r="E200" s="2">
        <v>781</v>
      </c>
      <c r="F200" s="2" t="s">
        <v>8</v>
      </c>
      <c r="G200" s="2">
        <v>422</v>
      </c>
      <c r="H200" s="2">
        <v>147</v>
      </c>
      <c r="I200" s="2">
        <v>351</v>
      </c>
      <c r="J200" s="2" t="s">
        <v>18</v>
      </c>
      <c r="K200" s="2" t="s">
        <v>7</v>
      </c>
      <c r="L200" s="2" t="s">
        <v>15</v>
      </c>
      <c r="M200" s="2" t="s">
        <v>10</v>
      </c>
      <c r="N200" s="2" t="s">
        <v>11</v>
      </c>
      <c r="O200" s="2" t="s">
        <v>12</v>
      </c>
    </row>
    <row r="201" spans="1:15" x14ac:dyDescent="0.2">
      <c r="A201" s="2" t="s">
        <v>231</v>
      </c>
      <c r="B201" s="2">
        <v>2023</v>
      </c>
      <c r="C201" s="2">
        <v>2018</v>
      </c>
      <c r="D201" s="2" t="s">
        <v>265</v>
      </c>
      <c r="E201" s="2">
        <v>783</v>
      </c>
      <c r="F201" s="2">
        <v>6</v>
      </c>
      <c r="G201" s="2">
        <v>758</v>
      </c>
      <c r="H201" s="2">
        <v>19</v>
      </c>
      <c r="I201" s="2">
        <v>458</v>
      </c>
      <c r="J201" s="2" t="s">
        <v>21</v>
      </c>
      <c r="K201" s="2" t="s">
        <v>7</v>
      </c>
      <c r="L201" s="2" t="s">
        <v>9</v>
      </c>
      <c r="M201" s="2" t="s">
        <v>10</v>
      </c>
      <c r="N201" s="2" t="s">
        <v>263</v>
      </c>
      <c r="O201" s="2" t="s">
        <v>12</v>
      </c>
    </row>
    <row r="202" spans="1:15" x14ac:dyDescent="0.2">
      <c r="A202" s="2" t="s">
        <v>232</v>
      </c>
      <c r="B202" s="2">
        <v>2019</v>
      </c>
      <c r="C202" s="2">
        <v>2015</v>
      </c>
      <c r="D202" s="2" t="s">
        <v>264</v>
      </c>
      <c r="E202" s="2">
        <v>792</v>
      </c>
      <c r="F202" s="2">
        <v>6</v>
      </c>
      <c r="G202" s="2">
        <v>535</v>
      </c>
      <c r="H202" s="2">
        <v>251</v>
      </c>
      <c r="I202" s="2">
        <v>542</v>
      </c>
      <c r="J202" s="2" t="s">
        <v>18</v>
      </c>
      <c r="K202" s="2" t="s">
        <v>7</v>
      </c>
      <c r="L202" s="2" t="s">
        <v>15</v>
      </c>
      <c r="M202" s="2" t="s">
        <v>10</v>
      </c>
      <c r="N202" s="2" t="s">
        <v>11</v>
      </c>
      <c r="O202" s="2" t="s">
        <v>12</v>
      </c>
    </row>
    <row r="203" spans="1:15" x14ac:dyDescent="0.2">
      <c r="A203" s="2" t="s">
        <v>233</v>
      </c>
      <c r="B203" s="2">
        <v>2021</v>
      </c>
      <c r="C203" s="2">
        <v>2018</v>
      </c>
      <c r="D203" s="2" t="s">
        <v>265</v>
      </c>
      <c r="E203" s="2">
        <v>794</v>
      </c>
      <c r="F203" s="2">
        <v>1</v>
      </c>
      <c r="G203" s="2">
        <v>578</v>
      </c>
      <c r="H203" s="2">
        <v>215</v>
      </c>
      <c r="I203" s="2">
        <v>0</v>
      </c>
      <c r="J203" s="2" t="s">
        <v>46</v>
      </c>
      <c r="K203" s="2" t="s">
        <v>7</v>
      </c>
      <c r="L203" s="2" t="s">
        <v>15</v>
      </c>
      <c r="M203" s="2" t="s">
        <v>10</v>
      </c>
      <c r="N203" s="2" t="s">
        <v>11</v>
      </c>
      <c r="O203" s="2" t="s">
        <v>12</v>
      </c>
    </row>
    <row r="204" spans="1:15" x14ac:dyDescent="0.2">
      <c r="A204" s="2" t="s">
        <v>234</v>
      </c>
      <c r="B204" s="2">
        <v>2022</v>
      </c>
      <c r="C204" s="2">
        <v>2015</v>
      </c>
      <c r="D204" s="2" t="s">
        <v>264</v>
      </c>
      <c r="E204" s="2">
        <v>802</v>
      </c>
      <c r="F204" s="2">
        <v>0</v>
      </c>
      <c r="G204" s="2">
        <v>0</v>
      </c>
      <c r="H204" s="2">
        <v>802</v>
      </c>
      <c r="I204" s="2">
        <v>520</v>
      </c>
      <c r="J204" s="2" t="s">
        <v>56</v>
      </c>
      <c r="K204" s="2" t="s">
        <v>14</v>
      </c>
      <c r="L204" s="2" t="s">
        <v>9</v>
      </c>
      <c r="M204" s="2" t="s">
        <v>10</v>
      </c>
      <c r="N204" s="2" t="s">
        <v>42</v>
      </c>
      <c r="O204" s="2" t="s">
        <v>8</v>
      </c>
    </row>
    <row r="205" spans="1:15" x14ac:dyDescent="0.2">
      <c r="A205" s="2" t="s">
        <v>235</v>
      </c>
      <c r="B205" s="2">
        <v>2023</v>
      </c>
      <c r="C205" s="2">
        <v>2015</v>
      </c>
      <c r="D205" s="2" t="s">
        <v>264</v>
      </c>
      <c r="E205" s="2">
        <v>815</v>
      </c>
      <c r="F205" s="2">
        <v>14</v>
      </c>
      <c r="G205" s="2">
        <v>602</v>
      </c>
      <c r="H205" s="2">
        <v>199</v>
      </c>
      <c r="I205" s="2">
        <v>473</v>
      </c>
      <c r="J205" s="2" t="s">
        <v>6</v>
      </c>
      <c r="K205" s="2" t="s">
        <v>14</v>
      </c>
      <c r="L205" s="2" t="s">
        <v>15</v>
      </c>
      <c r="M205" s="2" t="s">
        <v>10</v>
      </c>
      <c r="N205" s="2" t="s">
        <v>11</v>
      </c>
      <c r="O205" s="2" t="s">
        <v>86</v>
      </c>
    </row>
    <row r="206" spans="1:15" x14ac:dyDescent="0.2">
      <c r="A206" s="2" t="s">
        <v>236</v>
      </c>
      <c r="B206" s="2">
        <v>2021</v>
      </c>
      <c r="C206" s="2">
        <v>2015</v>
      </c>
      <c r="D206" s="2" t="s">
        <v>264</v>
      </c>
      <c r="E206" s="2">
        <v>823</v>
      </c>
      <c r="F206" s="2">
        <v>10</v>
      </c>
      <c r="G206" s="2">
        <v>603</v>
      </c>
      <c r="H206" s="2">
        <v>210</v>
      </c>
      <c r="I206" s="2">
        <v>689</v>
      </c>
      <c r="J206" s="2" t="s">
        <v>35</v>
      </c>
      <c r="K206" s="2" t="s">
        <v>7</v>
      </c>
      <c r="L206" s="2" t="s">
        <v>9</v>
      </c>
      <c r="M206" s="2" t="s">
        <v>10</v>
      </c>
      <c r="N206" s="2" t="s">
        <v>11</v>
      </c>
      <c r="O206" s="2" t="s">
        <v>12</v>
      </c>
    </row>
    <row r="207" spans="1:15" x14ac:dyDescent="0.2">
      <c r="A207" s="2" t="s">
        <v>237</v>
      </c>
      <c r="B207" s="2">
        <v>2023</v>
      </c>
      <c r="C207" s="2">
        <v>2014</v>
      </c>
      <c r="D207" s="2" t="s">
        <v>264</v>
      </c>
      <c r="E207" s="2">
        <v>866</v>
      </c>
      <c r="F207" s="2">
        <v>12</v>
      </c>
      <c r="G207" s="2">
        <v>672</v>
      </c>
      <c r="H207" s="2">
        <v>182</v>
      </c>
      <c r="I207" s="2">
        <v>481</v>
      </c>
      <c r="J207" s="2" t="s">
        <v>56</v>
      </c>
      <c r="K207" s="2" t="s">
        <v>31</v>
      </c>
      <c r="L207" s="2" t="s">
        <v>9</v>
      </c>
      <c r="M207" s="2" t="s">
        <v>10</v>
      </c>
      <c r="N207" s="2" t="s">
        <v>11</v>
      </c>
      <c r="O207" s="2" t="s">
        <v>12</v>
      </c>
    </row>
    <row r="208" spans="1:15" x14ac:dyDescent="0.2">
      <c r="A208" s="2" t="s">
        <v>238</v>
      </c>
      <c r="B208" s="2">
        <v>2022</v>
      </c>
      <c r="C208" s="2">
        <v>2017</v>
      </c>
      <c r="D208" s="2" t="s">
        <v>265</v>
      </c>
      <c r="E208" s="2">
        <v>867</v>
      </c>
      <c r="F208" s="2">
        <v>2</v>
      </c>
      <c r="G208" s="2">
        <v>508</v>
      </c>
      <c r="H208" s="2">
        <v>95</v>
      </c>
      <c r="I208" s="2">
        <v>694</v>
      </c>
      <c r="J208" s="2" t="s">
        <v>30</v>
      </c>
      <c r="K208" s="2" t="s">
        <v>7</v>
      </c>
      <c r="L208" s="2" t="s">
        <v>9</v>
      </c>
      <c r="M208" s="2" t="s">
        <v>10</v>
      </c>
      <c r="N208" s="2" t="s">
        <v>11</v>
      </c>
      <c r="O208" s="2" t="s">
        <v>12</v>
      </c>
    </row>
    <row r="209" spans="1:15" x14ac:dyDescent="0.2">
      <c r="A209" s="2" t="s">
        <v>239</v>
      </c>
      <c r="B209" s="2">
        <v>2017</v>
      </c>
      <c r="C209" s="2">
        <v>2014</v>
      </c>
      <c r="D209" s="2" t="s">
        <v>264</v>
      </c>
      <c r="E209" s="2">
        <v>875</v>
      </c>
      <c r="F209" s="2" t="s">
        <v>8</v>
      </c>
      <c r="G209" s="2" t="s">
        <v>8</v>
      </c>
      <c r="H209" s="2" t="s">
        <v>8</v>
      </c>
      <c r="I209" s="2">
        <v>0</v>
      </c>
      <c r="J209" s="2" t="s">
        <v>46</v>
      </c>
      <c r="K209" s="2" t="s">
        <v>14</v>
      </c>
      <c r="L209" s="2" t="s">
        <v>15</v>
      </c>
      <c r="M209" s="2" t="s">
        <v>10</v>
      </c>
      <c r="N209" s="2" t="s">
        <v>42</v>
      </c>
      <c r="O209" s="2" t="s">
        <v>8</v>
      </c>
    </row>
    <row r="210" spans="1:15" x14ac:dyDescent="0.2">
      <c r="A210" s="2" t="s">
        <v>240</v>
      </c>
      <c r="B210" s="2">
        <v>2023</v>
      </c>
      <c r="C210" s="2">
        <v>2015</v>
      </c>
      <c r="D210" s="2" t="s">
        <v>264</v>
      </c>
      <c r="E210" s="2">
        <v>882</v>
      </c>
      <c r="F210" s="2">
        <v>21</v>
      </c>
      <c r="G210" s="2">
        <v>646</v>
      </c>
      <c r="H210" s="2">
        <v>215</v>
      </c>
      <c r="I210" s="2">
        <v>735</v>
      </c>
      <c r="J210" s="2" t="s">
        <v>35</v>
      </c>
      <c r="K210" s="2" t="s">
        <v>7</v>
      </c>
      <c r="L210" s="2" t="s">
        <v>192</v>
      </c>
      <c r="M210" s="2" t="s">
        <v>10</v>
      </c>
      <c r="N210" s="2" t="s">
        <v>263</v>
      </c>
      <c r="O210" s="2" t="s">
        <v>8</v>
      </c>
    </row>
    <row r="211" spans="1:15" x14ac:dyDescent="0.2">
      <c r="A211" s="2" t="s">
        <v>241</v>
      </c>
      <c r="B211" s="2">
        <v>2022</v>
      </c>
      <c r="C211" s="2">
        <v>2015</v>
      </c>
      <c r="D211" s="2" t="s">
        <v>264</v>
      </c>
      <c r="E211" s="2">
        <v>902</v>
      </c>
      <c r="F211" s="2">
        <v>58</v>
      </c>
      <c r="G211" s="2">
        <v>609</v>
      </c>
      <c r="H211" s="2">
        <v>235</v>
      </c>
      <c r="I211" s="2">
        <v>3</v>
      </c>
      <c r="J211" s="2" t="s">
        <v>46</v>
      </c>
      <c r="K211" s="2" t="s">
        <v>7</v>
      </c>
      <c r="L211" s="2" t="s">
        <v>9</v>
      </c>
      <c r="M211" s="2" t="s">
        <v>10</v>
      </c>
      <c r="N211" s="2" t="s">
        <v>11</v>
      </c>
      <c r="O211" s="2" t="s">
        <v>12</v>
      </c>
    </row>
    <row r="212" spans="1:15" x14ac:dyDescent="0.2">
      <c r="A212" s="2" t="s">
        <v>242</v>
      </c>
      <c r="B212" s="2">
        <v>2021</v>
      </c>
      <c r="C212" s="2">
        <v>2015</v>
      </c>
      <c r="D212" s="2" t="s">
        <v>264</v>
      </c>
      <c r="E212" s="2">
        <v>915</v>
      </c>
      <c r="F212" s="2">
        <v>5</v>
      </c>
      <c r="G212" s="2">
        <v>660</v>
      </c>
      <c r="H212" s="2">
        <v>250</v>
      </c>
      <c r="I212" s="2">
        <v>669</v>
      </c>
      <c r="J212" s="2" t="s">
        <v>30</v>
      </c>
      <c r="K212" s="2" t="s">
        <v>7</v>
      </c>
      <c r="L212" s="2" t="s">
        <v>9</v>
      </c>
      <c r="M212" s="2" t="s">
        <v>10</v>
      </c>
      <c r="N212" s="2" t="s">
        <v>11</v>
      </c>
      <c r="O212" s="2" t="s">
        <v>12</v>
      </c>
    </row>
    <row r="213" spans="1:15" x14ac:dyDescent="0.2">
      <c r="A213" s="2" t="s">
        <v>243</v>
      </c>
      <c r="B213" s="2">
        <v>2021</v>
      </c>
      <c r="C213" s="2">
        <v>2017</v>
      </c>
      <c r="D213" s="2" t="s">
        <v>265</v>
      </c>
      <c r="E213" s="2">
        <v>930</v>
      </c>
      <c r="F213" s="2">
        <v>46</v>
      </c>
      <c r="G213" s="2">
        <v>636</v>
      </c>
      <c r="H213" s="2">
        <v>248</v>
      </c>
      <c r="I213" s="2">
        <v>930</v>
      </c>
      <c r="J213" s="2" t="s">
        <v>30</v>
      </c>
      <c r="K213" s="2" t="s">
        <v>14</v>
      </c>
      <c r="L213" s="2" t="s">
        <v>15</v>
      </c>
      <c r="M213" s="2" t="s">
        <v>10</v>
      </c>
      <c r="N213" s="2" t="s">
        <v>26</v>
      </c>
      <c r="O213" s="2" t="s">
        <v>8</v>
      </c>
    </row>
    <row r="214" spans="1:15" x14ac:dyDescent="0.2">
      <c r="A214" s="2" t="s">
        <v>244</v>
      </c>
      <c r="B214" s="2">
        <v>2021</v>
      </c>
      <c r="C214" s="2">
        <v>2015</v>
      </c>
      <c r="D214" s="2" t="s">
        <v>264</v>
      </c>
      <c r="E214" s="2">
        <v>931</v>
      </c>
      <c r="F214" s="2">
        <v>3</v>
      </c>
      <c r="G214" s="2">
        <v>671</v>
      </c>
      <c r="H214" s="2">
        <v>257</v>
      </c>
      <c r="I214" s="2">
        <v>718</v>
      </c>
      <c r="J214" s="2" t="s">
        <v>30</v>
      </c>
      <c r="K214" s="2" t="s">
        <v>7</v>
      </c>
      <c r="L214" s="2" t="s">
        <v>15</v>
      </c>
      <c r="M214" s="2" t="s">
        <v>10</v>
      </c>
      <c r="N214" s="2" t="s">
        <v>11</v>
      </c>
      <c r="O214" s="2" t="s">
        <v>12</v>
      </c>
    </row>
    <row r="215" spans="1:15" x14ac:dyDescent="0.2">
      <c r="A215" s="2" t="s">
        <v>245</v>
      </c>
      <c r="B215" s="2">
        <v>2022</v>
      </c>
      <c r="C215" s="2">
        <v>2016</v>
      </c>
      <c r="D215" s="2" t="s">
        <v>265</v>
      </c>
      <c r="E215" s="2">
        <v>947</v>
      </c>
      <c r="F215" s="2">
        <v>22</v>
      </c>
      <c r="G215" s="2">
        <v>780</v>
      </c>
      <c r="H215" s="2">
        <v>145</v>
      </c>
      <c r="I215" s="2">
        <v>777</v>
      </c>
      <c r="J215" s="2" t="s">
        <v>35</v>
      </c>
      <c r="K215" s="2" t="s">
        <v>7</v>
      </c>
      <c r="L215" s="2" t="s">
        <v>9</v>
      </c>
      <c r="M215" s="2" t="s">
        <v>10</v>
      </c>
      <c r="N215" s="2" t="s">
        <v>263</v>
      </c>
      <c r="O215" s="2" t="s">
        <v>12</v>
      </c>
    </row>
    <row r="216" spans="1:15" x14ac:dyDescent="0.2">
      <c r="A216" s="2" t="s">
        <v>246</v>
      </c>
      <c r="B216" s="2">
        <v>2022</v>
      </c>
      <c r="C216" s="2">
        <v>2015</v>
      </c>
      <c r="D216" s="2" t="s">
        <v>264</v>
      </c>
      <c r="E216" s="2">
        <v>970</v>
      </c>
      <c r="F216" s="2">
        <v>0</v>
      </c>
      <c r="G216" s="2">
        <v>18</v>
      </c>
      <c r="H216" s="2">
        <v>401</v>
      </c>
      <c r="I216" s="2">
        <v>797</v>
      </c>
      <c r="J216" s="2" t="s">
        <v>56</v>
      </c>
      <c r="K216" s="2" t="s">
        <v>7</v>
      </c>
      <c r="L216" s="2" t="s">
        <v>9</v>
      </c>
      <c r="M216" s="2" t="s">
        <v>10</v>
      </c>
      <c r="N216" s="2" t="s">
        <v>263</v>
      </c>
      <c r="O216" s="2" t="s">
        <v>12</v>
      </c>
    </row>
    <row r="217" spans="1:15" x14ac:dyDescent="0.2">
      <c r="A217" s="2" t="s">
        <v>247</v>
      </c>
      <c r="B217" s="2">
        <v>2023</v>
      </c>
      <c r="C217" s="2">
        <v>2016</v>
      </c>
      <c r="D217" s="2" t="s">
        <v>265</v>
      </c>
      <c r="E217" s="2">
        <v>1010</v>
      </c>
      <c r="F217" s="2">
        <v>8</v>
      </c>
      <c r="G217" s="2">
        <v>690</v>
      </c>
      <c r="H217" s="2">
        <v>312</v>
      </c>
      <c r="I217" s="2">
        <v>762</v>
      </c>
      <c r="J217" s="2" t="s">
        <v>30</v>
      </c>
      <c r="K217" s="2" t="s">
        <v>7</v>
      </c>
      <c r="L217" s="2" t="s">
        <v>192</v>
      </c>
      <c r="M217" s="2" t="s">
        <v>10</v>
      </c>
      <c r="N217" s="2" t="s">
        <v>263</v>
      </c>
      <c r="O217" s="2" t="s">
        <v>12</v>
      </c>
    </row>
    <row r="218" spans="1:15" x14ac:dyDescent="0.2">
      <c r="A218" s="2" t="s">
        <v>248</v>
      </c>
      <c r="B218" s="2">
        <v>2021</v>
      </c>
      <c r="C218" s="2">
        <v>2015</v>
      </c>
      <c r="D218" s="2" t="s">
        <v>264</v>
      </c>
      <c r="E218" s="2">
        <v>1021</v>
      </c>
      <c r="F218" s="2">
        <v>14</v>
      </c>
      <c r="G218" s="2">
        <v>869</v>
      </c>
      <c r="H218" s="2">
        <v>138</v>
      </c>
      <c r="I218" s="2">
        <v>835</v>
      </c>
      <c r="J218" s="2" t="s">
        <v>18</v>
      </c>
      <c r="K218" s="2" t="s">
        <v>7</v>
      </c>
      <c r="L218" s="2" t="s">
        <v>9</v>
      </c>
      <c r="M218" s="2" t="s">
        <v>124</v>
      </c>
      <c r="N218" s="2" t="s">
        <v>42</v>
      </c>
      <c r="O218" s="2" t="s">
        <v>8</v>
      </c>
    </row>
    <row r="219" spans="1:15" x14ac:dyDescent="0.2">
      <c r="A219" s="2" t="s">
        <v>249</v>
      </c>
      <c r="B219" s="2">
        <v>2023</v>
      </c>
      <c r="C219" s="2">
        <v>2019</v>
      </c>
      <c r="D219" s="2" t="s">
        <v>266</v>
      </c>
      <c r="E219" s="2">
        <v>1030</v>
      </c>
      <c r="F219" s="2">
        <v>26</v>
      </c>
      <c r="G219" s="2">
        <v>800</v>
      </c>
      <c r="H219" s="2">
        <v>204</v>
      </c>
      <c r="I219" s="2">
        <v>1030</v>
      </c>
      <c r="J219" s="2" t="s">
        <v>30</v>
      </c>
      <c r="K219" s="2" t="s">
        <v>7</v>
      </c>
      <c r="L219" s="2" t="s">
        <v>9</v>
      </c>
      <c r="M219" s="2" t="s">
        <v>10</v>
      </c>
      <c r="N219" s="2" t="s">
        <v>263</v>
      </c>
      <c r="O219" s="2" t="s">
        <v>12</v>
      </c>
    </row>
    <row r="220" spans="1:15" x14ac:dyDescent="0.2">
      <c r="A220" s="2" t="s">
        <v>250</v>
      </c>
      <c r="B220" s="2">
        <v>2019</v>
      </c>
      <c r="C220" s="2">
        <v>2016</v>
      </c>
      <c r="D220" s="2" t="s">
        <v>265</v>
      </c>
      <c r="E220" s="2">
        <v>1134</v>
      </c>
      <c r="F220" s="2">
        <v>28</v>
      </c>
      <c r="G220" s="2">
        <v>704</v>
      </c>
      <c r="H220" s="2">
        <v>399</v>
      </c>
      <c r="I220" s="2">
        <v>671</v>
      </c>
      <c r="J220" s="2" t="s">
        <v>56</v>
      </c>
      <c r="K220" s="2" t="s">
        <v>14</v>
      </c>
      <c r="L220" s="2" t="s">
        <v>9</v>
      </c>
      <c r="M220" s="2" t="s">
        <v>10</v>
      </c>
      <c r="N220" s="2" t="s">
        <v>11</v>
      </c>
      <c r="O220" s="2" t="s">
        <v>12</v>
      </c>
    </row>
    <row r="221" spans="1:15" x14ac:dyDescent="0.2">
      <c r="A221" s="2" t="s">
        <v>251</v>
      </c>
      <c r="B221" s="2">
        <v>2020</v>
      </c>
      <c r="C221" s="2">
        <v>2014</v>
      </c>
      <c r="D221" s="2" t="s">
        <v>264</v>
      </c>
      <c r="E221" s="2">
        <v>1182</v>
      </c>
      <c r="F221" s="2">
        <v>45</v>
      </c>
      <c r="G221" s="2">
        <v>1091</v>
      </c>
      <c r="H221" s="2">
        <v>46</v>
      </c>
      <c r="I221" s="2">
        <v>1182</v>
      </c>
      <c r="J221" s="2" t="s">
        <v>30</v>
      </c>
      <c r="K221" s="2" t="s">
        <v>7</v>
      </c>
      <c r="L221" s="2" t="s">
        <v>9</v>
      </c>
      <c r="M221" s="2" t="s">
        <v>10</v>
      </c>
      <c r="N221" s="2" t="s">
        <v>42</v>
      </c>
      <c r="O221" s="2" t="s">
        <v>8</v>
      </c>
    </row>
    <row r="222" spans="1:15" x14ac:dyDescent="0.2">
      <c r="A222" s="2" t="s">
        <v>252</v>
      </c>
      <c r="B222" s="2">
        <v>2019</v>
      </c>
      <c r="C222" s="2">
        <v>2015</v>
      </c>
      <c r="D222" s="2" t="s">
        <v>264</v>
      </c>
      <c r="E222" s="2">
        <v>1202</v>
      </c>
      <c r="F222" s="2">
        <v>24</v>
      </c>
      <c r="G222" s="2">
        <v>988</v>
      </c>
      <c r="H222" s="2">
        <v>190</v>
      </c>
      <c r="I222" s="2">
        <v>720</v>
      </c>
      <c r="J222" s="2" t="s">
        <v>18</v>
      </c>
      <c r="K222" s="2" t="s">
        <v>7</v>
      </c>
      <c r="L222" s="2" t="s">
        <v>9</v>
      </c>
      <c r="M222" s="2" t="s">
        <v>10</v>
      </c>
      <c r="N222" s="2" t="s">
        <v>42</v>
      </c>
      <c r="O222" s="2" t="s">
        <v>8</v>
      </c>
    </row>
    <row r="223" spans="1:15" x14ac:dyDescent="0.2">
      <c r="A223" s="2" t="s">
        <v>253</v>
      </c>
      <c r="B223" s="2">
        <v>2019</v>
      </c>
      <c r="C223" s="2">
        <v>2014</v>
      </c>
      <c r="D223" s="2" t="s">
        <v>264</v>
      </c>
      <c r="E223" s="2">
        <v>1225</v>
      </c>
      <c r="F223" s="2">
        <v>27</v>
      </c>
      <c r="G223" s="2">
        <v>870</v>
      </c>
      <c r="H223" s="2">
        <v>328</v>
      </c>
      <c r="I223" s="2">
        <v>758</v>
      </c>
      <c r="J223" s="2" t="s">
        <v>18</v>
      </c>
      <c r="K223" s="2" t="s">
        <v>7</v>
      </c>
      <c r="L223" s="2" t="s">
        <v>9</v>
      </c>
      <c r="M223" s="2" t="s">
        <v>10</v>
      </c>
      <c r="N223" s="2" t="s">
        <v>8</v>
      </c>
      <c r="O223" s="2" t="s">
        <v>8</v>
      </c>
    </row>
    <row r="224" spans="1:15" x14ac:dyDescent="0.2">
      <c r="A224" s="2" t="s">
        <v>254</v>
      </c>
      <c r="B224" s="2">
        <v>2023</v>
      </c>
      <c r="C224" s="2">
        <v>2016</v>
      </c>
      <c r="D224" s="2" t="s">
        <v>265</v>
      </c>
      <c r="E224" s="2">
        <v>1253</v>
      </c>
      <c r="F224" s="2">
        <v>67</v>
      </c>
      <c r="G224" s="2">
        <v>745</v>
      </c>
      <c r="H224" s="2">
        <v>441</v>
      </c>
      <c r="I224" s="2">
        <v>759</v>
      </c>
      <c r="J224" s="2" t="s">
        <v>56</v>
      </c>
      <c r="K224" s="2" t="s">
        <v>14</v>
      </c>
      <c r="L224" s="2" t="s">
        <v>9</v>
      </c>
      <c r="M224" s="2" t="s">
        <v>10</v>
      </c>
      <c r="N224" s="2" t="s">
        <v>263</v>
      </c>
      <c r="O224" s="2" t="s">
        <v>12</v>
      </c>
    </row>
    <row r="225" spans="1:15" x14ac:dyDescent="0.2">
      <c r="A225" s="2" t="s">
        <v>255</v>
      </c>
      <c r="B225" s="2">
        <v>2022</v>
      </c>
      <c r="C225" s="2">
        <v>2014</v>
      </c>
      <c r="D225" s="2" t="s">
        <v>264</v>
      </c>
      <c r="E225" s="2">
        <v>1274</v>
      </c>
      <c r="F225" s="2">
        <v>23</v>
      </c>
      <c r="G225" s="2">
        <v>810</v>
      </c>
      <c r="H225" s="2">
        <v>441</v>
      </c>
      <c r="I225" s="2">
        <v>902</v>
      </c>
      <c r="J225" s="2" t="s">
        <v>18</v>
      </c>
      <c r="K225" s="2" t="s">
        <v>7</v>
      </c>
      <c r="L225" s="2" t="s">
        <v>15</v>
      </c>
      <c r="M225" s="2" t="s">
        <v>10</v>
      </c>
      <c r="N225" s="2" t="s">
        <v>11</v>
      </c>
      <c r="O225" s="2" t="s">
        <v>12</v>
      </c>
    </row>
    <row r="226" spans="1:15" x14ac:dyDescent="0.2">
      <c r="A226" s="2" t="s">
        <v>256</v>
      </c>
      <c r="B226" s="2">
        <v>2023</v>
      </c>
      <c r="C226" s="2">
        <v>2017</v>
      </c>
      <c r="D226" s="2" t="s">
        <v>265</v>
      </c>
      <c r="E226" s="2">
        <v>1301</v>
      </c>
      <c r="F226" s="2">
        <v>21</v>
      </c>
      <c r="G226" s="2">
        <v>925</v>
      </c>
      <c r="H226" s="2">
        <v>355</v>
      </c>
      <c r="I226" s="2">
        <v>0</v>
      </c>
      <c r="J226" s="2" t="s">
        <v>44</v>
      </c>
      <c r="K226" s="2" t="s">
        <v>4</v>
      </c>
      <c r="L226" s="2" t="s">
        <v>9</v>
      </c>
      <c r="M226" s="2" t="s">
        <v>10</v>
      </c>
      <c r="N226" s="2" t="s">
        <v>11</v>
      </c>
      <c r="O226" s="2" t="s">
        <v>12</v>
      </c>
    </row>
    <row r="227" spans="1:15" x14ac:dyDescent="0.2">
      <c r="A227" s="2" t="s">
        <v>257</v>
      </c>
      <c r="B227" s="2">
        <v>2023</v>
      </c>
      <c r="C227" s="2">
        <v>2016</v>
      </c>
      <c r="D227" s="2" t="s">
        <v>265</v>
      </c>
      <c r="E227" s="2">
        <v>1305</v>
      </c>
      <c r="F227" s="2">
        <v>54</v>
      </c>
      <c r="G227" s="2">
        <v>678</v>
      </c>
      <c r="H227" s="2">
        <v>573</v>
      </c>
      <c r="I227" s="2">
        <v>1305</v>
      </c>
      <c r="J227" s="2" t="s">
        <v>30</v>
      </c>
      <c r="K227" s="2" t="s">
        <v>14</v>
      </c>
      <c r="L227" s="2" t="s">
        <v>9</v>
      </c>
      <c r="M227" s="2" t="s">
        <v>10</v>
      </c>
      <c r="N227" s="2" t="s">
        <v>26</v>
      </c>
      <c r="O227" s="2" t="s">
        <v>8</v>
      </c>
    </row>
    <row r="228" spans="1:15" x14ac:dyDescent="0.2">
      <c r="A228" s="2" t="s">
        <v>258</v>
      </c>
      <c r="B228" s="2">
        <v>2021</v>
      </c>
      <c r="C228" s="2">
        <v>2014</v>
      </c>
      <c r="D228" s="2" t="s">
        <v>264</v>
      </c>
      <c r="E228" s="2">
        <v>1428</v>
      </c>
      <c r="F228" s="2">
        <v>105</v>
      </c>
      <c r="G228" s="2">
        <v>1266</v>
      </c>
      <c r="H228" s="2">
        <v>57</v>
      </c>
      <c r="I228" s="2">
        <v>771</v>
      </c>
      <c r="J228" s="2" t="s">
        <v>18</v>
      </c>
      <c r="K228" s="2" t="s">
        <v>7</v>
      </c>
      <c r="L228" s="2" t="s">
        <v>15</v>
      </c>
      <c r="M228" s="2" t="s">
        <v>10</v>
      </c>
      <c r="N228" s="2" t="s">
        <v>263</v>
      </c>
      <c r="O228" s="2" t="s">
        <v>12</v>
      </c>
    </row>
    <row r="229" spans="1:15" x14ac:dyDescent="0.2">
      <c r="A229" s="2" t="s">
        <v>259</v>
      </c>
      <c r="B229" s="2">
        <v>2019</v>
      </c>
      <c r="C229" s="2">
        <v>2014</v>
      </c>
      <c r="D229" s="2" t="s">
        <v>264</v>
      </c>
      <c r="E229" s="2">
        <v>1509</v>
      </c>
      <c r="F229" s="2">
        <v>52</v>
      </c>
      <c r="G229" s="2">
        <v>1194</v>
      </c>
      <c r="H229" s="2">
        <v>263</v>
      </c>
      <c r="I229" s="2">
        <v>1509</v>
      </c>
      <c r="J229" s="2" t="s">
        <v>30</v>
      </c>
      <c r="K229" s="2" t="s">
        <v>14</v>
      </c>
      <c r="L229" s="2" t="s">
        <v>15</v>
      </c>
      <c r="M229" s="2" t="s">
        <v>10</v>
      </c>
      <c r="N229" s="2" t="s">
        <v>42</v>
      </c>
      <c r="O229" s="2" t="s">
        <v>8</v>
      </c>
    </row>
    <row r="230" spans="1:15" x14ac:dyDescent="0.2">
      <c r="A230" s="2" t="s">
        <v>260</v>
      </c>
      <c r="B230" s="2">
        <v>2021</v>
      </c>
      <c r="C230" s="2">
        <v>2017</v>
      </c>
      <c r="D230" s="2" t="s">
        <v>265</v>
      </c>
      <c r="E230" s="2">
        <v>1844</v>
      </c>
      <c r="F230" s="2">
        <v>5</v>
      </c>
      <c r="G230" s="2">
        <v>1818</v>
      </c>
      <c r="H230" s="2">
        <v>21</v>
      </c>
      <c r="I230" s="2">
        <v>1052</v>
      </c>
      <c r="J230" s="2" t="s">
        <v>21</v>
      </c>
      <c r="K230" s="2" t="s">
        <v>7</v>
      </c>
      <c r="L230" s="2" t="s">
        <v>9</v>
      </c>
      <c r="M230" s="2" t="s">
        <v>10</v>
      </c>
      <c r="N230" s="2" t="s">
        <v>263</v>
      </c>
      <c r="O230" s="2" t="s">
        <v>12</v>
      </c>
    </row>
    <row r="231" spans="1:15" x14ac:dyDescent="0.2">
      <c r="A231" s="2" t="s">
        <v>261</v>
      </c>
      <c r="B231" s="2">
        <v>2022</v>
      </c>
      <c r="C231" s="2">
        <v>2014</v>
      </c>
      <c r="D231" s="2" t="s">
        <v>264</v>
      </c>
      <c r="E231" s="2">
        <v>1846</v>
      </c>
      <c r="F231" s="2">
        <v>23</v>
      </c>
      <c r="G231" s="2">
        <v>1123</v>
      </c>
      <c r="H231" s="2">
        <v>700</v>
      </c>
      <c r="I231" s="2">
        <v>7</v>
      </c>
      <c r="J231" s="2" t="s">
        <v>46</v>
      </c>
      <c r="K231" s="2" t="s">
        <v>14</v>
      </c>
      <c r="L231" s="2" t="s">
        <v>9</v>
      </c>
      <c r="M231" s="2" t="s">
        <v>10</v>
      </c>
      <c r="N231" s="2" t="s">
        <v>42</v>
      </c>
      <c r="O231" s="2" t="s">
        <v>8</v>
      </c>
    </row>
    <row r="232" spans="1:15" x14ac:dyDescent="0.2">
      <c r="A232" s="2" t="s">
        <v>262</v>
      </c>
      <c r="B232" s="2">
        <v>2023</v>
      </c>
      <c r="C232" s="2">
        <v>2016</v>
      </c>
      <c r="D232" s="2" t="s">
        <v>265</v>
      </c>
      <c r="E232" s="2">
        <v>3246</v>
      </c>
      <c r="F232" s="2">
        <v>29</v>
      </c>
      <c r="G232" s="2">
        <v>2553</v>
      </c>
      <c r="H232" s="2">
        <v>664</v>
      </c>
      <c r="I232" s="2">
        <v>39</v>
      </c>
      <c r="J232" s="2" t="s">
        <v>46</v>
      </c>
      <c r="K232" s="2" t="s">
        <v>14</v>
      </c>
      <c r="L232" s="2" t="s">
        <v>9</v>
      </c>
      <c r="M232" s="2" t="s">
        <v>10</v>
      </c>
      <c r="N232" s="2" t="s">
        <v>263</v>
      </c>
      <c r="O232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SPSS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Alexander Karol</cp:lastModifiedBy>
  <dcterms:created xsi:type="dcterms:W3CDTF">2024-01-26T18:54:37Z</dcterms:created>
  <dcterms:modified xsi:type="dcterms:W3CDTF">2024-03-07T18:31:35Z</dcterms:modified>
</cp:coreProperties>
</file>